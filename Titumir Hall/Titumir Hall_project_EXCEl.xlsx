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mfua\OneDrive\Desktop\"/>
    </mc:Choice>
  </mc:AlternateContent>
  <bookViews>
    <workbookView xWindow="0" yWindow="0" windowWidth="15345" windowHeight="5970"/>
  </bookViews>
  <sheets>
    <sheet name="Sheet1" sheetId="1" r:id="rId1"/>
  </sheets>
  <definedNames>
    <definedName name="solver_adj" localSheetId="0" hidden="1">Sheet1!$C$7:$C$40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Sheet1!$C$47:$C$49</definedName>
    <definedName name="solver_lhs10" localSheetId="0" hidden="1">Sheet1!$K$47:$K$66</definedName>
    <definedName name="solver_lhs11" localSheetId="0" hidden="1">Sheet1!$K$67</definedName>
    <definedName name="solver_lhs12" localSheetId="0" hidden="1">Sheet1!$K$74:$K$77</definedName>
    <definedName name="solver_lhs13" localSheetId="0" hidden="1">Sheet1!$K$79</definedName>
    <definedName name="solver_lhs14" localSheetId="0" hidden="1">Sheet1!$K$79</definedName>
    <definedName name="solver_lhs15" localSheetId="0" hidden="1">Sheet1!$K$79</definedName>
    <definedName name="solver_lhs2" localSheetId="0" hidden="1">Sheet1!$C$53:$C$54</definedName>
    <definedName name="solver_lhs3" localSheetId="0" hidden="1">Sheet1!$H$47:$H$66</definedName>
    <definedName name="solver_lhs4" localSheetId="0" hidden="1">Sheet1!$H$67</definedName>
    <definedName name="solver_lhs5" localSheetId="0" hidden="1">Sheet1!$H$68:$H$73</definedName>
    <definedName name="solver_lhs6" localSheetId="0" hidden="1">Sheet1!$H$74:$H$77</definedName>
    <definedName name="solver_lhs7" localSheetId="0" hidden="1">Sheet1!$H$78</definedName>
    <definedName name="solver_lhs8" localSheetId="0" hidden="1">Sheet1!$H$79</definedName>
    <definedName name="solver_lhs9" localSheetId="0" hidden="1">Sheet1!$H$80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13</definedName>
    <definedName name="solver_nwt" localSheetId="0" hidden="1">1</definedName>
    <definedName name="solver_opt" localSheetId="0" hidden="1">Sheet1!$N$9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10" localSheetId="0" hidden="1">1</definedName>
    <definedName name="solver_rel11" localSheetId="0" hidden="1">3</definedName>
    <definedName name="solver_rel12" localSheetId="0" hidden="1">1</definedName>
    <definedName name="solver_rel13" localSheetId="0" hidden="1">1</definedName>
    <definedName name="solver_rel14" localSheetId="0" hidden="1">1</definedName>
    <definedName name="solver_rel15" localSheetId="0" hidden="1">1</definedName>
    <definedName name="solver_rel2" localSheetId="0" hidden="1">1</definedName>
    <definedName name="solver_rel3" localSheetId="0" hidden="1">3</definedName>
    <definedName name="solver_rel4" localSheetId="0" hidden="1">1</definedName>
    <definedName name="solver_rel5" localSheetId="0" hidden="1">2</definedName>
    <definedName name="solver_rel6" localSheetId="0" hidden="1">3</definedName>
    <definedName name="solver_rel7" localSheetId="0" hidden="1">2</definedName>
    <definedName name="solver_rel8" localSheetId="0" hidden="1">3</definedName>
    <definedName name="solver_rel9" localSheetId="0" hidden="1">2</definedName>
    <definedName name="solver_rhs1" localSheetId="0" hidden="1">Sheet1!$E$47:$E$49</definedName>
    <definedName name="solver_rhs10" localSheetId="0" hidden="1">Sheet1!$M$47:$M$66</definedName>
    <definedName name="solver_rhs11" localSheetId="0" hidden="1">Sheet1!$M$67</definedName>
    <definedName name="solver_rhs12" localSheetId="0" hidden="1">Sheet1!$M$74:$M$77</definedName>
    <definedName name="solver_rhs13" localSheetId="0" hidden="1">Sheet1!$M$79</definedName>
    <definedName name="solver_rhs14" localSheetId="0" hidden="1">Sheet1!$M$79</definedName>
    <definedName name="solver_rhs15" localSheetId="0" hidden="1">Sheet1!$M$79</definedName>
    <definedName name="solver_rhs2" localSheetId="0" hidden="1">Sheet1!$E$53:$E$54</definedName>
    <definedName name="solver_rhs3" localSheetId="0" hidden="1">Sheet1!$J$47:$J$66</definedName>
    <definedName name="solver_rhs4" localSheetId="0" hidden="1">Sheet1!$J$67</definedName>
    <definedName name="solver_rhs5" localSheetId="0" hidden="1">Sheet1!$J$68:$J$73</definedName>
    <definedName name="solver_rhs6" localSheetId="0" hidden="1">Sheet1!$J$74:$J$77</definedName>
    <definedName name="solver_rhs7" localSheetId="0" hidden="1">Sheet1!$J$78</definedName>
    <definedName name="solver_rhs8" localSheetId="0" hidden="1">Sheet1!$J$79</definedName>
    <definedName name="solver_rhs9" localSheetId="0" hidden="1">Sheet1!$J$80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4" i="1" l="1"/>
  <c r="C49" i="1"/>
  <c r="C53" i="1"/>
  <c r="C47" i="1"/>
  <c r="K67" i="1"/>
  <c r="K48" i="1" l="1"/>
  <c r="K49" i="1"/>
  <c r="K50" i="1"/>
  <c r="K51" i="1"/>
  <c r="K52" i="1"/>
  <c r="K53" i="1"/>
  <c r="K47" i="1"/>
  <c r="K75" i="1"/>
  <c r="K76" i="1"/>
  <c r="K77" i="1"/>
  <c r="K74" i="1"/>
  <c r="K59" i="1"/>
  <c r="K60" i="1"/>
  <c r="K61" i="1"/>
  <c r="K62" i="1"/>
  <c r="K63" i="1"/>
  <c r="K64" i="1"/>
  <c r="K65" i="1"/>
  <c r="K66" i="1"/>
  <c r="K55" i="1"/>
  <c r="K56" i="1"/>
  <c r="K57" i="1"/>
  <c r="K58" i="1"/>
  <c r="K79" i="1"/>
  <c r="D8" i="1"/>
  <c r="J70" i="1"/>
  <c r="J68" i="1"/>
  <c r="K54" i="1"/>
  <c r="N9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47" i="1"/>
  <c r="J69" i="1"/>
  <c r="O47" i="1"/>
  <c r="H69" i="1"/>
  <c r="H70" i="1"/>
  <c r="H71" i="1"/>
  <c r="H72" i="1"/>
  <c r="H73" i="1"/>
  <c r="H74" i="1"/>
  <c r="H75" i="1"/>
  <c r="H76" i="1"/>
  <c r="H77" i="1"/>
  <c r="H78" i="1"/>
  <c r="H68" i="1"/>
  <c r="C48" i="1"/>
  <c r="E49" i="1"/>
  <c r="E48" i="1"/>
  <c r="E47" i="1"/>
  <c r="H80" i="1"/>
  <c r="H79" i="1"/>
</calcChain>
</file>

<file path=xl/sharedStrings.xml><?xml version="1.0" encoding="utf-8"?>
<sst xmlns="http://schemas.openxmlformats.org/spreadsheetml/2006/main" count="221" uniqueCount="63">
  <si>
    <t>Name: Md. Muqtadir Fuad</t>
  </si>
  <si>
    <t>Student ID: 2008079</t>
  </si>
  <si>
    <t>Chicken</t>
  </si>
  <si>
    <t>Egg</t>
  </si>
  <si>
    <t>Tilapia</t>
  </si>
  <si>
    <t>Salmon(Rui)</t>
  </si>
  <si>
    <t xml:space="preserve">Ingredient </t>
  </si>
  <si>
    <t>Common Carp (Karfu)</t>
  </si>
  <si>
    <t>Bean</t>
  </si>
  <si>
    <t>Eggplant</t>
  </si>
  <si>
    <t>White Radish</t>
  </si>
  <si>
    <t>Papaya</t>
  </si>
  <si>
    <t>Potato</t>
  </si>
  <si>
    <t>Broccoli</t>
  </si>
  <si>
    <t>Cauliflower</t>
  </si>
  <si>
    <t>Soybean Oil</t>
  </si>
  <si>
    <t>Beef</t>
  </si>
  <si>
    <t>Mutton</t>
  </si>
  <si>
    <t>Bagda Chingri</t>
  </si>
  <si>
    <t>Salt</t>
  </si>
  <si>
    <t>Turmeric Powder</t>
  </si>
  <si>
    <t>Green Chili</t>
  </si>
  <si>
    <t>Coriander leaves</t>
  </si>
  <si>
    <t>Tomato</t>
  </si>
  <si>
    <t>Onion</t>
  </si>
  <si>
    <t>Lentils</t>
  </si>
  <si>
    <t>Lemon</t>
  </si>
  <si>
    <t>Rice</t>
  </si>
  <si>
    <t>Preoject: Titumir Hall’s Meal Optimization (Individual)</t>
  </si>
  <si>
    <t>Red amaranth</t>
  </si>
  <si>
    <t>Spinch</t>
  </si>
  <si>
    <t>Pumpkin Leaves</t>
  </si>
  <si>
    <t>Cabbage</t>
  </si>
  <si>
    <t>Climbing perch fish</t>
  </si>
  <si>
    <t>Fresh water Catfish</t>
  </si>
  <si>
    <t>Long Bean</t>
  </si>
  <si>
    <t>Gourd</t>
  </si>
  <si>
    <t>Sl No</t>
  </si>
  <si>
    <t>Ingredients</t>
  </si>
  <si>
    <t>Protein</t>
  </si>
  <si>
    <t>Carbs</t>
  </si>
  <si>
    <t>Fat</t>
  </si>
  <si>
    <t>-</t>
  </si>
  <si>
    <t>Price/kg</t>
  </si>
  <si>
    <t>Quantity(kg)</t>
  </si>
  <si>
    <t>Constraints</t>
  </si>
  <si>
    <t>Nutrient Per 100g ingredient</t>
  </si>
  <si>
    <t>Least Nutrition Requirement</t>
  </si>
  <si>
    <t>Objective Function</t>
  </si>
  <si>
    <t>Spinach</t>
  </si>
  <si>
    <t>Budget  Constraints</t>
  </si>
  <si>
    <t>Value Constraints</t>
  </si>
  <si>
    <t>Least Nutritional Requirement(daily per student)</t>
  </si>
  <si>
    <t>Nutrients</t>
  </si>
  <si>
    <t>Carbohydrate</t>
  </si>
  <si>
    <t>Least Daiy Intake(g)</t>
  </si>
  <si>
    <t>Transportation Expenses</t>
  </si>
  <si>
    <t>&gt;=</t>
  </si>
  <si>
    <t>Transportation</t>
  </si>
  <si>
    <t>=</t>
  </si>
  <si>
    <t>&lt;=</t>
  </si>
  <si>
    <t>Total Budget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</si>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</sst>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0" fillId="0" borderId="1" xfId="0" applyFill="1" applyBorder="1"/>
    <xf numFmtId="0" fontId="0" fillId="0" borderId="2" xfId="0" applyBorder="1"/>
    <xf numFmtId="0" fontId="0" fillId="0" borderId="0" xfId="0" applyBorder="1"/>
    <xf numFmtId="0" fontId="0" fillId="4" borderId="1" xfId="0" applyFill="1" applyBorder="1"/>
    <xf numFmtId="0" fontId="0" fillId="5" borderId="0" xfId="0" applyFill="1" applyAlignment="1">
      <alignment horizontal="left"/>
    </xf>
    <xf numFmtId="4" fontId="0" fillId="6" borderId="0" xfId="0" applyNumberFormat="1" applyFill="1"/>
    <xf numFmtId="0" fontId="0" fillId="6" borderId="0" xfId="0" applyFill="1"/>
    <xf numFmtId="0" fontId="0" fillId="3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1" borderId="0" xfId="0" applyFill="1"/>
    <xf numFmtId="0" fontId="0" fillId="11" borderId="1" xfId="0" applyFill="1" applyBorder="1"/>
    <xf numFmtId="0" fontId="0" fillId="12" borderId="1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0"/>
  <sheetViews>
    <sheetView tabSelected="1" topLeftCell="A37" zoomScaleNormal="100" workbookViewId="0">
      <selection activeCell="B53" sqref="B53:B54"/>
    </sheetView>
  </sheetViews>
  <sheetFormatPr defaultRowHeight="15" x14ac:dyDescent="0.25"/>
  <cols>
    <col min="1" max="1" width="9.140625" customWidth="1"/>
    <col min="2" max="2" width="19.28515625" customWidth="1"/>
    <col min="3" max="3" width="12.28515625" customWidth="1"/>
    <col min="7" max="7" width="15.85546875" customWidth="1"/>
    <col min="8" max="8" width="19.42578125" customWidth="1"/>
    <col min="11" max="11" width="16.85546875" customWidth="1"/>
    <col min="14" max="14" width="15" customWidth="1"/>
    <col min="15" max="15" width="18.5703125" bestFit="1" customWidth="1"/>
  </cols>
  <sheetData>
    <row r="1" spans="1:17" ht="18.75" x14ac:dyDescent="0.3">
      <c r="A1" s="2" t="s">
        <v>28</v>
      </c>
      <c r="B1" s="2"/>
      <c r="C1" s="2"/>
      <c r="D1" s="2"/>
      <c r="E1" s="2"/>
      <c r="F1" s="2"/>
      <c r="G1" s="2"/>
      <c r="H1" s="2"/>
    </row>
    <row r="2" spans="1:17" ht="15.75" x14ac:dyDescent="0.25">
      <c r="A2" s="1" t="s">
        <v>0</v>
      </c>
    </row>
    <row r="3" spans="1:17" ht="15.75" x14ac:dyDescent="0.25">
      <c r="A3" s="1" t="s">
        <v>1</v>
      </c>
    </row>
    <row r="4" spans="1:17" ht="15.75" x14ac:dyDescent="0.25">
      <c r="A4" s="1"/>
    </row>
    <row r="5" spans="1:17" x14ac:dyDescent="0.25">
      <c r="G5" s="14"/>
      <c r="H5" s="14"/>
      <c r="I5" s="14" t="s">
        <v>46</v>
      </c>
      <c r="J5" s="14"/>
      <c r="K5" s="14"/>
      <c r="L5" s="14"/>
    </row>
    <row r="6" spans="1:17" x14ac:dyDescent="0.25">
      <c r="A6" s="10" t="s">
        <v>37</v>
      </c>
      <c r="B6" s="10" t="s">
        <v>6</v>
      </c>
      <c r="C6" s="10" t="s">
        <v>44</v>
      </c>
      <c r="D6" s="10"/>
      <c r="E6" s="10"/>
      <c r="F6" s="9"/>
      <c r="G6" s="10" t="s">
        <v>37</v>
      </c>
      <c r="H6" s="10" t="s">
        <v>38</v>
      </c>
      <c r="I6" s="10" t="s">
        <v>39</v>
      </c>
      <c r="J6" s="10" t="s">
        <v>40</v>
      </c>
      <c r="K6" s="10" t="s">
        <v>41</v>
      </c>
      <c r="L6" s="10" t="s">
        <v>43</v>
      </c>
    </row>
    <row r="7" spans="1:17" x14ac:dyDescent="0.25">
      <c r="A7" s="3">
        <v>1</v>
      </c>
      <c r="B7" s="3" t="s">
        <v>2</v>
      </c>
      <c r="C7" s="3">
        <v>600</v>
      </c>
      <c r="D7" s="3"/>
      <c r="E7" s="3"/>
      <c r="F7" s="9"/>
      <c r="G7" s="3">
        <v>1</v>
      </c>
      <c r="H7" s="3" t="s">
        <v>2</v>
      </c>
      <c r="I7" s="3">
        <v>31</v>
      </c>
      <c r="J7" s="3">
        <v>0</v>
      </c>
      <c r="K7" s="3">
        <v>3.6</v>
      </c>
      <c r="L7" s="3">
        <v>180</v>
      </c>
    </row>
    <row r="8" spans="1:17" x14ac:dyDescent="0.25">
      <c r="A8" s="3">
        <v>2</v>
      </c>
      <c r="B8" s="3" t="s">
        <v>3</v>
      </c>
      <c r="C8" s="3">
        <v>300</v>
      </c>
      <c r="D8" s="3">
        <f>ROUNDDOWN(C8*30,0)</f>
        <v>9000</v>
      </c>
      <c r="E8" s="3" t="s">
        <v>62</v>
      </c>
      <c r="F8" s="9"/>
      <c r="G8" s="3">
        <v>2</v>
      </c>
      <c r="H8" s="3" t="s">
        <v>3</v>
      </c>
      <c r="I8" s="3">
        <v>13</v>
      </c>
      <c r="J8" s="3">
        <v>0.7</v>
      </c>
      <c r="K8" s="3">
        <v>9.5</v>
      </c>
      <c r="L8" s="3">
        <v>160</v>
      </c>
      <c r="N8" s="11" t="s">
        <v>48</v>
      </c>
      <c r="O8" s="11"/>
    </row>
    <row r="9" spans="1:17" x14ac:dyDescent="0.25">
      <c r="A9" s="3">
        <v>3</v>
      </c>
      <c r="B9" s="3" t="s">
        <v>4</v>
      </c>
      <c r="C9" s="3">
        <v>300</v>
      </c>
      <c r="D9" s="3"/>
      <c r="E9" s="3"/>
      <c r="F9" s="9"/>
      <c r="G9" s="3">
        <v>3</v>
      </c>
      <c r="H9" s="3" t="s">
        <v>4</v>
      </c>
      <c r="I9" s="3">
        <v>26</v>
      </c>
      <c r="J9" s="3">
        <v>0</v>
      </c>
      <c r="K9" s="3">
        <v>2.7</v>
      </c>
      <c r="L9" s="3">
        <v>250</v>
      </c>
      <c r="N9" s="12">
        <f>SUMPRODUCT(C7:C40,L7:L40)</f>
        <v>1126333.369625154</v>
      </c>
      <c r="O9" s="13"/>
    </row>
    <row r="10" spans="1:17" x14ac:dyDescent="0.25">
      <c r="A10" s="3">
        <v>4</v>
      </c>
      <c r="B10" s="3" t="s">
        <v>5</v>
      </c>
      <c r="C10" s="3">
        <v>99.999999999999986</v>
      </c>
      <c r="D10" s="3"/>
      <c r="E10" s="3"/>
      <c r="F10" s="9"/>
      <c r="G10" s="3">
        <v>4</v>
      </c>
      <c r="H10" s="3" t="s">
        <v>5</v>
      </c>
      <c r="I10" s="3">
        <v>22</v>
      </c>
      <c r="J10" s="3">
        <v>0</v>
      </c>
      <c r="K10" s="3">
        <v>12</v>
      </c>
      <c r="L10" s="3">
        <v>330</v>
      </c>
    </row>
    <row r="11" spans="1:17" x14ac:dyDescent="0.25">
      <c r="A11" s="3">
        <v>5</v>
      </c>
      <c r="B11" s="3" t="s">
        <v>33</v>
      </c>
      <c r="C11" s="3">
        <v>100</v>
      </c>
      <c r="D11" s="3"/>
      <c r="E11" s="3"/>
      <c r="F11" s="9"/>
      <c r="G11" s="3">
        <v>5</v>
      </c>
      <c r="H11" s="3" t="s">
        <v>33</v>
      </c>
      <c r="I11" s="3">
        <v>22.6</v>
      </c>
      <c r="J11" s="3">
        <v>14</v>
      </c>
      <c r="K11" s="3">
        <v>12.5</v>
      </c>
      <c r="L11" s="3">
        <v>450</v>
      </c>
    </row>
    <row r="12" spans="1:17" x14ac:dyDescent="0.25">
      <c r="A12" s="3">
        <v>6</v>
      </c>
      <c r="B12" s="3" t="s">
        <v>34</v>
      </c>
      <c r="C12" s="3">
        <v>100</v>
      </c>
      <c r="D12" s="3"/>
      <c r="E12" s="3"/>
      <c r="F12" s="9"/>
      <c r="G12" s="3">
        <v>6</v>
      </c>
      <c r="H12" s="3" t="s">
        <v>34</v>
      </c>
      <c r="I12" s="3">
        <v>18</v>
      </c>
      <c r="J12" s="3">
        <v>0</v>
      </c>
      <c r="K12" s="3">
        <v>7.2</v>
      </c>
      <c r="L12" s="3">
        <v>610</v>
      </c>
    </row>
    <row r="13" spans="1:17" x14ac:dyDescent="0.25">
      <c r="A13" s="3">
        <v>7</v>
      </c>
      <c r="B13" s="3" t="s">
        <v>7</v>
      </c>
      <c r="C13" s="3">
        <v>100</v>
      </c>
      <c r="D13" s="3"/>
      <c r="E13" s="3"/>
      <c r="F13" s="9"/>
      <c r="G13" s="3">
        <v>7</v>
      </c>
      <c r="H13" s="3" t="s">
        <v>7</v>
      </c>
      <c r="I13" s="3">
        <v>24</v>
      </c>
      <c r="J13" s="3">
        <v>0</v>
      </c>
      <c r="K13" s="3">
        <v>8.1</v>
      </c>
      <c r="L13" s="3">
        <v>310</v>
      </c>
      <c r="N13" s="15" t="s">
        <v>52</v>
      </c>
      <c r="O13" s="15"/>
      <c r="P13" s="15"/>
      <c r="Q13" s="15"/>
    </row>
    <row r="14" spans="1:17" x14ac:dyDescent="0.25">
      <c r="A14" s="3">
        <v>8</v>
      </c>
      <c r="B14" s="3" t="s">
        <v>8</v>
      </c>
      <c r="C14" s="3">
        <v>236.28260961775254</v>
      </c>
      <c r="D14" s="3"/>
      <c r="E14" s="3"/>
      <c r="F14" s="9"/>
      <c r="G14" s="3">
        <v>8</v>
      </c>
      <c r="H14" s="3" t="s">
        <v>8</v>
      </c>
      <c r="I14" s="3">
        <v>8.6999999999999993</v>
      </c>
      <c r="J14" s="3">
        <v>23</v>
      </c>
      <c r="K14" s="3">
        <v>0.5</v>
      </c>
      <c r="L14" s="3">
        <v>65</v>
      </c>
      <c r="N14" s="17" t="s">
        <v>53</v>
      </c>
      <c r="O14" s="17" t="s">
        <v>55</v>
      </c>
    </row>
    <row r="15" spans="1:17" x14ac:dyDescent="0.25">
      <c r="A15" s="3">
        <v>9</v>
      </c>
      <c r="B15" s="3" t="s">
        <v>9</v>
      </c>
      <c r="C15" s="3">
        <v>450</v>
      </c>
      <c r="D15" s="3"/>
      <c r="E15" s="3"/>
      <c r="F15" s="9"/>
      <c r="G15" s="3">
        <v>9</v>
      </c>
      <c r="H15" s="3" t="s">
        <v>9</v>
      </c>
      <c r="I15" s="3">
        <v>0.8</v>
      </c>
      <c r="J15" s="3">
        <v>8.6999999999999993</v>
      </c>
      <c r="K15" s="3">
        <v>0.2</v>
      </c>
      <c r="L15" s="3">
        <v>25</v>
      </c>
      <c r="N15" s="3" t="s">
        <v>39</v>
      </c>
      <c r="O15" s="3">
        <v>50</v>
      </c>
    </row>
    <row r="16" spans="1:17" x14ac:dyDescent="0.25">
      <c r="A16" s="3">
        <v>10</v>
      </c>
      <c r="B16" s="3" t="s">
        <v>10</v>
      </c>
      <c r="C16" s="3">
        <v>300</v>
      </c>
      <c r="D16" s="3"/>
      <c r="E16" s="3"/>
      <c r="F16" s="9"/>
      <c r="G16" s="3">
        <v>10</v>
      </c>
      <c r="H16" s="3" t="s">
        <v>10</v>
      </c>
      <c r="I16" s="3">
        <v>0.7</v>
      </c>
      <c r="J16" s="3">
        <v>3.4</v>
      </c>
      <c r="K16" s="3">
        <v>0.2</v>
      </c>
      <c r="L16" s="3">
        <v>12</v>
      </c>
      <c r="N16" s="3" t="s">
        <v>54</v>
      </c>
      <c r="O16" s="3">
        <v>150</v>
      </c>
    </row>
    <row r="17" spans="1:15" x14ac:dyDescent="0.25">
      <c r="A17" s="3">
        <v>11</v>
      </c>
      <c r="B17" s="3" t="s">
        <v>11</v>
      </c>
      <c r="C17" s="3">
        <v>300</v>
      </c>
      <c r="D17" s="3"/>
      <c r="E17" s="3"/>
      <c r="F17" s="9"/>
      <c r="G17" s="3">
        <v>11</v>
      </c>
      <c r="H17" s="3" t="s">
        <v>11</v>
      </c>
      <c r="I17" s="3">
        <v>0.5</v>
      </c>
      <c r="J17" s="3">
        <v>11</v>
      </c>
      <c r="K17" s="3">
        <v>0.3</v>
      </c>
      <c r="L17" s="3">
        <v>80</v>
      </c>
      <c r="N17" s="3" t="s">
        <v>41</v>
      </c>
      <c r="O17" s="3">
        <v>30</v>
      </c>
    </row>
    <row r="18" spans="1:15" x14ac:dyDescent="0.25">
      <c r="A18" s="3">
        <v>12</v>
      </c>
      <c r="B18" s="3" t="s">
        <v>12</v>
      </c>
      <c r="C18" s="3">
        <v>1600</v>
      </c>
      <c r="D18" s="3"/>
      <c r="E18" s="3"/>
      <c r="F18" s="9"/>
      <c r="G18" s="3">
        <v>12</v>
      </c>
      <c r="H18" s="3" t="s">
        <v>12</v>
      </c>
      <c r="I18" s="3">
        <v>2.5</v>
      </c>
      <c r="J18" s="3">
        <v>21</v>
      </c>
      <c r="K18" s="3">
        <v>0.1</v>
      </c>
      <c r="L18" s="3">
        <v>50</v>
      </c>
    </row>
    <row r="19" spans="1:15" x14ac:dyDescent="0.25">
      <c r="A19" s="3">
        <v>13</v>
      </c>
      <c r="B19" s="4" t="s">
        <v>29</v>
      </c>
      <c r="C19" s="3">
        <v>100</v>
      </c>
      <c r="D19" s="3"/>
      <c r="E19" s="3"/>
      <c r="F19" s="9"/>
      <c r="G19" s="3">
        <v>13</v>
      </c>
      <c r="H19" s="4" t="s">
        <v>29</v>
      </c>
      <c r="I19" s="3">
        <v>2.8</v>
      </c>
      <c r="J19" s="3">
        <v>5.4</v>
      </c>
      <c r="K19" s="3">
        <v>0.2</v>
      </c>
      <c r="L19" s="3">
        <v>30</v>
      </c>
    </row>
    <row r="20" spans="1:15" x14ac:dyDescent="0.25">
      <c r="A20" s="3">
        <v>14</v>
      </c>
      <c r="B20" s="3" t="s">
        <v>30</v>
      </c>
      <c r="C20" s="3">
        <v>100</v>
      </c>
      <c r="D20" s="3"/>
      <c r="E20" s="3"/>
      <c r="F20" s="9"/>
      <c r="G20" s="3">
        <v>14</v>
      </c>
      <c r="H20" s="3" t="s">
        <v>49</v>
      </c>
      <c r="I20" s="3">
        <v>3</v>
      </c>
      <c r="J20" s="3">
        <v>3.8</v>
      </c>
      <c r="K20" s="3">
        <v>0.3</v>
      </c>
      <c r="L20" s="3">
        <v>35</v>
      </c>
    </row>
    <row r="21" spans="1:15" x14ac:dyDescent="0.25">
      <c r="A21" s="3">
        <v>15</v>
      </c>
      <c r="B21" s="3" t="s">
        <v>35</v>
      </c>
      <c r="C21" s="3">
        <v>100</v>
      </c>
      <c r="D21" s="3"/>
      <c r="E21" s="3"/>
      <c r="F21" s="9"/>
      <c r="G21" s="3">
        <v>15</v>
      </c>
      <c r="H21" s="3" t="s">
        <v>35</v>
      </c>
      <c r="I21" s="3">
        <v>2.8</v>
      </c>
      <c r="J21" s="3">
        <v>8.3000000000000007</v>
      </c>
      <c r="K21" s="3">
        <v>0.4</v>
      </c>
      <c r="L21" s="3">
        <v>110</v>
      </c>
    </row>
    <row r="22" spans="1:15" x14ac:dyDescent="0.25">
      <c r="A22" s="3">
        <v>16</v>
      </c>
      <c r="B22" s="3" t="s">
        <v>36</v>
      </c>
      <c r="C22" s="3">
        <v>200</v>
      </c>
      <c r="D22" s="3"/>
      <c r="E22" s="3"/>
      <c r="F22" s="9"/>
      <c r="G22" s="3">
        <v>16</v>
      </c>
      <c r="H22" s="3" t="s">
        <v>36</v>
      </c>
      <c r="I22" s="3">
        <v>0.9</v>
      </c>
      <c r="J22" s="3">
        <v>5.4</v>
      </c>
      <c r="K22" s="3">
        <v>0</v>
      </c>
      <c r="L22" s="3">
        <v>30</v>
      </c>
    </row>
    <row r="23" spans="1:15" x14ac:dyDescent="0.25">
      <c r="A23" s="3">
        <v>17</v>
      </c>
      <c r="B23" s="3" t="s">
        <v>31</v>
      </c>
      <c r="C23" s="3">
        <v>100</v>
      </c>
      <c r="D23" s="3"/>
      <c r="E23" s="3"/>
      <c r="F23" s="9"/>
      <c r="G23" s="3">
        <v>17</v>
      </c>
      <c r="H23" s="3" t="s">
        <v>31</v>
      </c>
      <c r="I23" s="3">
        <v>3.15</v>
      </c>
      <c r="J23" s="3">
        <v>2.33</v>
      </c>
      <c r="K23" s="3">
        <v>0.4</v>
      </c>
      <c r="L23" s="3">
        <v>50</v>
      </c>
    </row>
    <row r="24" spans="1:15" x14ac:dyDescent="0.25">
      <c r="A24" s="3">
        <v>18</v>
      </c>
      <c r="B24" s="3" t="s">
        <v>13</v>
      </c>
      <c r="C24" s="3">
        <v>100</v>
      </c>
      <c r="D24" s="3"/>
      <c r="E24" s="3"/>
      <c r="F24" s="9"/>
      <c r="G24" s="3">
        <v>18</v>
      </c>
      <c r="H24" s="3" t="s">
        <v>13</v>
      </c>
      <c r="I24" s="3">
        <v>2.4</v>
      </c>
      <c r="J24" s="3">
        <v>7.2</v>
      </c>
      <c r="K24" s="3">
        <v>0.4</v>
      </c>
      <c r="L24" s="3">
        <v>60</v>
      </c>
    </row>
    <row r="25" spans="1:15" x14ac:dyDescent="0.25">
      <c r="A25" s="3">
        <v>19</v>
      </c>
      <c r="B25" s="3" t="s">
        <v>32</v>
      </c>
      <c r="C25" s="3">
        <v>300</v>
      </c>
      <c r="D25" s="3"/>
      <c r="E25" s="3"/>
      <c r="F25" s="9"/>
      <c r="G25" s="3">
        <v>19</v>
      </c>
      <c r="H25" s="3" t="s">
        <v>32</v>
      </c>
      <c r="I25" s="3">
        <v>1.3</v>
      </c>
      <c r="J25" s="3">
        <v>5.5</v>
      </c>
      <c r="K25" s="3">
        <v>0.1</v>
      </c>
      <c r="L25" s="3">
        <v>30</v>
      </c>
    </row>
    <row r="26" spans="1:15" x14ac:dyDescent="0.25">
      <c r="A26" s="3">
        <v>20</v>
      </c>
      <c r="B26" s="3" t="s">
        <v>14</v>
      </c>
      <c r="C26" s="3">
        <v>300</v>
      </c>
      <c r="D26" s="3"/>
      <c r="E26" s="3"/>
      <c r="F26" s="9"/>
      <c r="G26" s="3">
        <v>20</v>
      </c>
      <c r="H26" s="3" t="s">
        <v>14</v>
      </c>
      <c r="I26" s="3">
        <v>1.8</v>
      </c>
      <c r="J26" s="3">
        <v>4.0999999999999996</v>
      </c>
      <c r="K26" s="3">
        <v>0.5</v>
      </c>
      <c r="L26" s="3">
        <v>30</v>
      </c>
    </row>
    <row r="27" spans="1:15" x14ac:dyDescent="0.25">
      <c r="A27" s="3">
        <v>21</v>
      </c>
      <c r="B27" s="3" t="s">
        <v>15</v>
      </c>
      <c r="C27" s="3">
        <v>240</v>
      </c>
      <c r="D27" s="3"/>
      <c r="E27" s="3"/>
      <c r="F27" s="9"/>
      <c r="G27" s="3">
        <v>21</v>
      </c>
      <c r="H27" s="3" t="s">
        <v>15</v>
      </c>
      <c r="I27" s="3">
        <v>0</v>
      </c>
      <c r="J27" s="3">
        <v>0</v>
      </c>
      <c r="K27" s="3">
        <v>100</v>
      </c>
      <c r="L27" s="3">
        <v>160</v>
      </c>
    </row>
    <row r="28" spans="1:15" x14ac:dyDescent="0.25">
      <c r="A28" s="3">
        <v>22</v>
      </c>
      <c r="B28" s="5" t="s">
        <v>19</v>
      </c>
      <c r="C28" s="3">
        <v>300</v>
      </c>
      <c r="D28" s="3"/>
      <c r="E28" s="3"/>
      <c r="F28" s="9"/>
      <c r="G28" s="3">
        <v>22</v>
      </c>
      <c r="H28" s="5" t="s">
        <v>19</v>
      </c>
      <c r="I28" s="3" t="s">
        <v>42</v>
      </c>
      <c r="J28" s="3" t="s">
        <v>42</v>
      </c>
      <c r="K28" s="3" t="s">
        <v>42</v>
      </c>
      <c r="L28" s="3">
        <v>35</v>
      </c>
    </row>
    <row r="29" spans="1:15" x14ac:dyDescent="0.25">
      <c r="A29" s="3">
        <v>23</v>
      </c>
      <c r="B29" s="5" t="s">
        <v>20</v>
      </c>
      <c r="C29" s="3">
        <v>50</v>
      </c>
      <c r="D29" s="3"/>
      <c r="E29" s="3"/>
      <c r="F29" s="9"/>
      <c r="G29" s="3">
        <v>23</v>
      </c>
      <c r="H29" s="5" t="s">
        <v>20</v>
      </c>
      <c r="I29" s="3" t="s">
        <v>42</v>
      </c>
      <c r="J29" s="3" t="s">
        <v>42</v>
      </c>
      <c r="K29" s="3" t="s">
        <v>42</v>
      </c>
      <c r="L29" s="3">
        <v>440</v>
      </c>
    </row>
    <row r="30" spans="1:15" x14ac:dyDescent="0.25">
      <c r="A30" s="3">
        <v>24</v>
      </c>
      <c r="B30" s="5" t="s">
        <v>21</v>
      </c>
      <c r="C30" s="3">
        <v>300</v>
      </c>
      <c r="D30" s="3"/>
      <c r="E30" s="3"/>
      <c r="F30" s="9"/>
      <c r="G30" s="3">
        <v>24</v>
      </c>
      <c r="H30" s="5" t="s">
        <v>21</v>
      </c>
      <c r="I30" s="3" t="s">
        <v>42</v>
      </c>
      <c r="J30" s="3" t="s">
        <v>42</v>
      </c>
      <c r="K30" s="3" t="s">
        <v>42</v>
      </c>
      <c r="L30" s="3">
        <v>60</v>
      </c>
    </row>
    <row r="31" spans="1:15" x14ac:dyDescent="0.25">
      <c r="A31" s="3">
        <v>25</v>
      </c>
      <c r="B31" s="5" t="s">
        <v>22</v>
      </c>
      <c r="C31" s="3">
        <v>45</v>
      </c>
      <c r="D31" s="3"/>
      <c r="E31" s="3"/>
      <c r="F31" s="9"/>
      <c r="G31" s="3">
        <v>25</v>
      </c>
      <c r="H31" s="5" t="s">
        <v>22</v>
      </c>
      <c r="I31" s="3" t="s">
        <v>42</v>
      </c>
      <c r="J31" s="3" t="s">
        <v>42</v>
      </c>
      <c r="K31" s="3" t="s">
        <v>42</v>
      </c>
      <c r="L31" s="3">
        <v>35</v>
      </c>
    </row>
    <row r="32" spans="1:15" x14ac:dyDescent="0.25">
      <c r="A32" s="3">
        <v>26</v>
      </c>
      <c r="B32" s="5" t="s">
        <v>23</v>
      </c>
      <c r="C32" s="3">
        <v>60</v>
      </c>
      <c r="D32" s="3"/>
      <c r="E32" s="3"/>
      <c r="F32" s="9"/>
      <c r="G32" s="3">
        <v>26</v>
      </c>
      <c r="H32" s="5" t="s">
        <v>23</v>
      </c>
      <c r="I32" s="3" t="s">
        <v>42</v>
      </c>
      <c r="J32" s="3" t="s">
        <v>42</v>
      </c>
      <c r="K32" s="3" t="s">
        <v>42</v>
      </c>
      <c r="L32" s="3">
        <v>50</v>
      </c>
    </row>
    <row r="33" spans="1:17" x14ac:dyDescent="0.25">
      <c r="A33" s="3">
        <v>27</v>
      </c>
      <c r="B33" s="5" t="s">
        <v>24</v>
      </c>
      <c r="C33" s="3">
        <v>450</v>
      </c>
      <c r="D33" s="3"/>
      <c r="E33" s="3"/>
      <c r="F33" s="9"/>
      <c r="G33" s="3">
        <v>27</v>
      </c>
      <c r="H33" s="5" t="s">
        <v>24</v>
      </c>
      <c r="I33" s="3" t="s">
        <v>42</v>
      </c>
      <c r="J33" s="3" t="s">
        <v>42</v>
      </c>
      <c r="K33" s="3" t="s">
        <v>42</v>
      </c>
      <c r="L33" s="3">
        <v>80</v>
      </c>
    </row>
    <row r="34" spans="1:17" x14ac:dyDescent="0.25">
      <c r="A34" s="3">
        <v>28</v>
      </c>
      <c r="B34" s="6" t="s">
        <v>16</v>
      </c>
      <c r="C34" s="3">
        <v>150</v>
      </c>
      <c r="D34" s="3"/>
      <c r="E34" s="3"/>
      <c r="F34" s="9"/>
      <c r="G34" s="3">
        <v>28</v>
      </c>
      <c r="H34" s="6" t="s">
        <v>16</v>
      </c>
      <c r="I34" s="3">
        <v>26</v>
      </c>
      <c r="J34" s="3">
        <v>0</v>
      </c>
      <c r="K34" s="3">
        <v>17</v>
      </c>
      <c r="L34" s="3">
        <v>650</v>
      </c>
    </row>
    <row r="35" spans="1:17" x14ac:dyDescent="0.25">
      <c r="A35" s="3">
        <v>29</v>
      </c>
      <c r="B35" s="6" t="s">
        <v>17</v>
      </c>
      <c r="C35" s="3">
        <v>25</v>
      </c>
      <c r="D35" s="3"/>
      <c r="E35" s="3"/>
      <c r="F35" s="9"/>
      <c r="G35" s="3">
        <v>29</v>
      </c>
      <c r="H35" s="6" t="s">
        <v>17</v>
      </c>
      <c r="I35" s="3">
        <v>25</v>
      </c>
      <c r="J35" s="3">
        <v>0</v>
      </c>
      <c r="K35" s="3">
        <v>21</v>
      </c>
      <c r="L35" s="3">
        <v>1000</v>
      </c>
    </row>
    <row r="36" spans="1:17" x14ac:dyDescent="0.25">
      <c r="A36" s="3">
        <v>30</v>
      </c>
      <c r="B36" s="6" t="s">
        <v>18</v>
      </c>
      <c r="C36" s="3">
        <v>25</v>
      </c>
      <c r="D36" s="3"/>
      <c r="E36" s="3"/>
      <c r="F36" s="9"/>
      <c r="G36" s="3">
        <v>30</v>
      </c>
      <c r="H36" s="6" t="s">
        <v>18</v>
      </c>
      <c r="I36" s="3">
        <v>23</v>
      </c>
      <c r="J36" s="3">
        <v>1.5</v>
      </c>
      <c r="K36" s="3">
        <v>1.7</v>
      </c>
      <c r="L36" s="3">
        <v>450</v>
      </c>
    </row>
    <row r="37" spans="1:17" x14ac:dyDescent="0.25">
      <c r="A37" s="3">
        <v>31</v>
      </c>
      <c r="B37" s="5" t="s">
        <v>25</v>
      </c>
      <c r="C37" s="3">
        <v>1000</v>
      </c>
      <c r="D37" s="3"/>
      <c r="E37" s="3"/>
      <c r="F37" s="9"/>
      <c r="G37" s="3">
        <v>31</v>
      </c>
      <c r="H37" s="5" t="s">
        <v>25</v>
      </c>
      <c r="I37" s="3">
        <v>9</v>
      </c>
      <c r="J37" s="3">
        <v>20</v>
      </c>
      <c r="K37" s="3">
        <v>0.4</v>
      </c>
      <c r="L37" s="3">
        <v>95</v>
      </c>
    </row>
    <row r="38" spans="1:17" x14ac:dyDescent="0.25">
      <c r="A38" s="3">
        <v>32</v>
      </c>
      <c r="B38" s="5" t="s">
        <v>26</v>
      </c>
      <c r="C38" s="3">
        <v>400</v>
      </c>
      <c r="D38" s="3"/>
      <c r="E38" s="3"/>
      <c r="F38" s="9"/>
      <c r="G38" s="3">
        <v>32</v>
      </c>
      <c r="H38" s="5" t="s">
        <v>26</v>
      </c>
      <c r="I38" s="3">
        <v>1.1000000000000001</v>
      </c>
      <c r="J38" s="3">
        <v>9.3000000000000007</v>
      </c>
      <c r="K38" s="3">
        <v>0.3</v>
      </c>
      <c r="L38" s="3">
        <v>120</v>
      </c>
    </row>
    <row r="39" spans="1:17" x14ac:dyDescent="0.25">
      <c r="A39" s="3">
        <v>33</v>
      </c>
      <c r="B39" s="5" t="s">
        <v>27</v>
      </c>
      <c r="C39" s="3">
        <v>2600</v>
      </c>
      <c r="D39" s="3"/>
      <c r="E39" s="3"/>
      <c r="F39" s="9"/>
      <c r="G39" s="3">
        <v>33</v>
      </c>
      <c r="H39" s="5" t="s">
        <v>27</v>
      </c>
      <c r="I39" s="3">
        <v>2.7</v>
      </c>
      <c r="J39" s="3">
        <v>28</v>
      </c>
      <c r="K39" s="3">
        <v>0.3</v>
      </c>
      <c r="L39" s="3">
        <v>50</v>
      </c>
    </row>
    <row r="40" spans="1:17" x14ac:dyDescent="0.25">
      <c r="A40" s="3">
        <v>34</v>
      </c>
      <c r="B40" s="7" t="s">
        <v>56</v>
      </c>
      <c r="C40" s="3">
        <v>4</v>
      </c>
      <c r="D40" s="3"/>
      <c r="E40" s="3"/>
      <c r="F40" s="9"/>
      <c r="G40" s="3">
        <v>34</v>
      </c>
      <c r="H40" s="7" t="s">
        <v>56</v>
      </c>
      <c r="I40" s="3" t="s">
        <v>42</v>
      </c>
      <c r="J40" s="3" t="s">
        <v>42</v>
      </c>
      <c r="K40" s="3" t="s">
        <v>42</v>
      </c>
      <c r="L40" s="3">
        <v>600</v>
      </c>
    </row>
    <row r="45" spans="1:17" x14ac:dyDescent="0.25">
      <c r="B45" s="16" t="s">
        <v>45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</row>
    <row r="46" spans="1:17" x14ac:dyDescent="0.25">
      <c r="B46" s="19" t="s">
        <v>47</v>
      </c>
      <c r="C46" s="19"/>
      <c r="D46" s="3"/>
      <c r="E46" s="8"/>
      <c r="F46" s="19" t="s">
        <v>37</v>
      </c>
      <c r="G46" s="19" t="s">
        <v>51</v>
      </c>
      <c r="H46" s="19"/>
      <c r="I46" s="3"/>
      <c r="J46" s="3"/>
      <c r="K46" s="3"/>
      <c r="L46" s="3"/>
      <c r="M46" s="3"/>
      <c r="N46" s="18" t="s">
        <v>50</v>
      </c>
      <c r="O46" s="18"/>
    </row>
    <row r="47" spans="1:17" x14ac:dyDescent="0.25">
      <c r="B47" s="20" t="s">
        <v>39</v>
      </c>
      <c r="C47" s="3">
        <f>SUMPRODUCT(C7:C27,I7:I27)*10+SUMPRODUCT(C34:C39,I34:I39)*10</f>
        <v>698206.58703674446</v>
      </c>
      <c r="D47" s="3" t="s">
        <v>57</v>
      </c>
      <c r="E47" s="8">
        <f>338*30*50</f>
        <v>507000</v>
      </c>
      <c r="F47" s="3">
        <v>1</v>
      </c>
      <c r="G47" s="3" t="s">
        <v>2</v>
      </c>
      <c r="H47" s="3">
        <f>C7</f>
        <v>600</v>
      </c>
      <c r="I47" s="3" t="s">
        <v>57</v>
      </c>
      <c r="J47" s="3">
        <v>600</v>
      </c>
      <c r="K47" s="3">
        <f>C7</f>
        <v>600</v>
      </c>
      <c r="L47" s="3" t="s">
        <v>60</v>
      </c>
      <c r="M47" s="3">
        <v>2500</v>
      </c>
      <c r="N47" t="s">
        <v>61</v>
      </c>
      <c r="O47">
        <f>SUMPRODUCT(C7:C40,L7:L40)</f>
        <v>1126333.369625154</v>
      </c>
      <c r="P47" t="s">
        <v>60</v>
      </c>
      <c r="Q47">
        <v>1200000</v>
      </c>
    </row>
    <row r="48" spans="1:17" x14ac:dyDescent="0.25">
      <c r="B48" s="20" t="s">
        <v>40</v>
      </c>
      <c r="C48" s="3">
        <f>SUMPRODUCT(C7:C27,J7:J27)*10+SUMPRODUCT(C34:C39,J34:J39)*10</f>
        <v>1521000.0002120831</v>
      </c>
      <c r="D48" s="3" t="s">
        <v>57</v>
      </c>
      <c r="E48" s="8">
        <f>338*30*150</f>
        <v>1521000</v>
      </c>
      <c r="F48" s="3">
        <v>2</v>
      </c>
      <c r="G48" s="3" t="s">
        <v>3</v>
      </c>
      <c r="H48" s="3">
        <f>C8</f>
        <v>300</v>
      </c>
      <c r="I48" s="3" t="s">
        <v>57</v>
      </c>
      <c r="J48" s="3">
        <v>300</v>
      </c>
      <c r="K48" s="3">
        <f>C8</f>
        <v>300</v>
      </c>
      <c r="L48" s="3" t="s">
        <v>60</v>
      </c>
      <c r="M48" s="3">
        <v>1200</v>
      </c>
    </row>
    <row r="49" spans="2:13" x14ac:dyDescent="0.25">
      <c r="B49" s="20" t="s">
        <v>41</v>
      </c>
      <c r="C49" s="3">
        <f>SUMPRODUCT(C7:C27,K7:K27)*10+SUMPRODUCT(C34:C39,K34:K39)*10</f>
        <v>390856.41304808873</v>
      </c>
      <c r="D49" s="3" t="s">
        <v>57</v>
      </c>
      <c r="E49" s="8">
        <f>338*30*30</f>
        <v>304200</v>
      </c>
      <c r="F49" s="3">
        <v>3</v>
      </c>
      <c r="G49" s="3" t="s">
        <v>4</v>
      </c>
      <c r="H49" s="3">
        <f>C9</f>
        <v>300</v>
      </c>
      <c r="I49" s="3" t="s">
        <v>57</v>
      </c>
      <c r="J49" s="3">
        <v>300</v>
      </c>
      <c r="K49" s="3">
        <f>C9</f>
        <v>300</v>
      </c>
      <c r="L49" s="3" t="s">
        <v>60</v>
      </c>
      <c r="M49" s="3">
        <v>1200</v>
      </c>
    </row>
    <row r="50" spans="2:13" x14ac:dyDescent="0.25">
      <c r="F50" s="3">
        <v>4</v>
      </c>
      <c r="G50" s="3" t="s">
        <v>5</v>
      </c>
      <c r="H50" s="3">
        <f>C10</f>
        <v>99.999999999999986</v>
      </c>
      <c r="I50" s="3" t="s">
        <v>57</v>
      </c>
      <c r="J50" s="3">
        <v>100</v>
      </c>
      <c r="K50" s="3">
        <f>C10</f>
        <v>99.999999999999986</v>
      </c>
      <c r="L50" s="3" t="s">
        <v>60</v>
      </c>
      <c r="M50" s="3">
        <v>1200</v>
      </c>
    </row>
    <row r="51" spans="2:13" x14ac:dyDescent="0.25">
      <c r="F51" s="3">
        <v>5</v>
      </c>
      <c r="G51" s="3" t="s">
        <v>33</v>
      </c>
      <c r="H51" s="3">
        <f>C11</f>
        <v>100</v>
      </c>
      <c r="I51" s="3" t="s">
        <v>57</v>
      </c>
      <c r="J51" s="3">
        <v>100</v>
      </c>
      <c r="K51" s="3">
        <f>C11</f>
        <v>100</v>
      </c>
      <c r="L51" s="3" t="s">
        <v>60</v>
      </c>
      <c r="M51" s="3">
        <v>1200</v>
      </c>
    </row>
    <row r="52" spans="2:13" x14ac:dyDescent="0.25">
      <c r="F52" s="3">
        <v>6</v>
      </c>
      <c r="G52" s="3" t="s">
        <v>34</v>
      </c>
      <c r="H52" s="3">
        <f>C12</f>
        <v>100</v>
      </c>
      <c r="I52" s="3" t="s">
        <v>57</v>
      </c>
      <c r="J52" s="3">
        <v>100</v>
      </c>
      <c r="K52" s="3">
        <f>C12</f>
        <v>100</v>
      </c>
      <c r="L52" s="3" t="s">
        <v>60</v>
      </c>
      <c r="M52" s="3">
        <v>1200</v>
      </c>
    </row>
    <row r="53" spans="2:13" x14ac:dyDescent="0.25">
      <c r="B53" s="20" t="s">
        <v>39</v>
      </c>
      <c r="C53" s="3">
        <f>SUMPRODUCT(C7:C27,I7:I27)*10+SUMPRODUCT(C34:C39,I34:I39)*10</f>
        <v>698206.58703674446</v>
      </c>
      <c r="D53" s="3" t="s">
        <v>60</v>
      </c>
      <c r="E53" s="3">
        <v>700000</v>
      </c>
      <c r="F53" s="3">
        <v>7</v>
      </c>
      <c r="G53" s="3" t="s">
        <v>7</v>
      </c>
      <c r="H53" s="3">
        <f>C13</f>
        <v>100</v>
      </c>
      <c r="I53" s="3" t="s">
        <v>57</v>
      </c>
      <c r="J53" s="3">
        <v>100</v>
      </c>
      <c r="K53" s="3">
        <f>C13</f>
        <v>100</v>
      </c>
      <c r="L53" s="3" t="s">
        <v>60</v>
      </c>
      <c r="M53" s="3">
        <v>1200</v>
      </c>
    </row>
    <row r="54" spans="2:13" x14ac:dyDescent="0.25">
      <c r="B54" s="20" t="s">
        <v>41</v>
      </c>
      <c r="C54" s="3">
        <f>SUMPRODUCT(C7:C27,K7:K27)*10+SUMPRODUCT(C34:C39,K34:K39)*10</f>
        <v>390856.41304808873</v>
      </c>
      <c r="D54" s="3" t="s">
        <v>60</v>
      </c>
      <c r="E54" s="3">
        <v>450000</v>
      </c>
      <c r="F54" s="3">
        <v>8</v>
      </c>
      <c r="G54" s="3" t="s">
        <v>8</v>
      </c>
      <c r="H54" s="3">
        <f>C14</f>
        <v>236.28260961775254</v>
      </c>
      <c r="I54" s="3" t="s">
        <v>57</v>
      </c>
      <c r="J54" s="3">
        <v>200</v>
      </c>
      <c r="K54" s="3">
        <f>C14</f>
        <v>236.28260961775254</v>
      </c>
      <c r="L54" s="3" t="s">
        <v>60</v>
      </c>
      <c r="M54" s="3">
        <v>900</v>
      </c>
    </row>
    <row r="55" spans="2:13" x14ac:dyDescent="0.25">
      <c r="F55" s="3">
        <v>9</v>
      </c>
      <c r="G55" s="3" t="s">
        <v>9</v>
      </c>
      <c r="H55" s="3">
        <f>C15</f>
        <v>450</v>
      </c>
      <c r="I55" s="3" t="s">
        <v>57</v>
      </c>
      <c r="J55" s="3">
        <v>450</v>
      </c>
      <c r="K55" s="3">
        <f>C15</f>
        <v>450</v>
      </c>
      <c r="L55" s="3" t="s">
        <v>60</v>
      </c>
      <c r="M55" s="3">
        <v>900</v>
      </c>
    </row>
    <row r="56" spans="2:13" x14ac:dyDescent="0.25">
      <c r="F56" s="3">
        <v>10</v>
      </c>
      <c r="G56" s="3" t="s">
        <v>10</v>
      </c>
      <c r="H56" s="3">
        <f>C16</f>
        <v>300</v>
      </c>
      <c r="I56" s="3" t="s">
        <v>57</v>
      </c>
      <c r="J56" s="3">
        <v>300</v>
      </c>
      <c r="K56" s="3">
        <f>C16</f>
        <v>300</v>
      </c>
      <c r="L56" s="3" t="s">
        <v>60</v>
      </c>
      <c r="M56" s="3">
        <v>900</v>
      </c>
    </row>
    <row r="57" spans="2:13" x14ac:dyDescent="0.25">
      <c r="F57" s="3">
        <v>11</v>
      </c>
      <c r="G57" s="3" t="s">
        <v>11</v>
      </c>
      <c r="H57" s="3">
        <f>C17</f>
        <v>300</v>
      </c>
      <c r="I57" s="3" t="s">
        <v>57</v>
      </c>
      <c r="J57" s="3">
        <v>300</v>
      </c>
      <c r="K57" s="3">
        <f>C17</f>
        <v>300</v>
      </c>
      <c r="L57" s="3" t="s">
        <v>60</v>
      </c>
      <c r="M57" s="3">
        <v>900</v>
      </c>
    </row>
    <row r="58" spans="2:13" x14ac:dyDescent="0.25">
      <c r="F58" s="3">
        <v>12</v>
      </c>
      <c r="G58" s="3" t="s">
        <v>12</v>
      </c>
      <c r="H58" s="3">
        <f>C18</f>
        <v>1600</v>
      </c>
      <c r="I58" s="3" t="s">
        <v>57</v>
      </c>
      <c r="J58" s="3">
        <v>900</v>
      </c>
      <c r="K58" s="3">
        <f>C18</f>
        <v>1600</v>
      </c>
      <c r="L58" s="3" t="s">
        <v>60</v>
      </c>
      <c r="M58" s="3">
        <v>1600</v>
      </c>
    </row>
    <row r="59" spans="2:13" x14ac:dyDescent="0.25">
      <c r="F59" s="3">
        <v>13</v>
      </c>
      <c r="G59" s="4" t="s">
        <v>29</v>
      </c>
      <c r="H59" s="3">
        <f>C19</f>
        <v>100</v>
      </c>
      <c r="I59" s="3" t="s">
        <v>57</v>
      </c>
      <c r="J59" s="3">
        <v>100</v>
      </c>
      <c r="K59" s="3">
        <f>C19</f>
        <v>100</v>
      </c>
      <c r="L59" s="3" t="s">
        <v>60</v>
      </c>
      <c r="M59" s="3">
        <v>900</v>
      </c>
    </row>
    <row r="60" spans="2:13" x14ac:dyDescent="0.25">
      <c r="F60" s="3">
        <v>14</v>
      </c>
      <c r="G60" s="3" t="s">
        <v>30</v>
      </c>
      <c r="H60" s="3">
        <f>C20</f>
        <v>100</v>
      </c>
      <c r="I60" s="3" t="s">
        <v>57</v>
      </c>
      <c r="J60" s="3">
        <v>100</v>
      </c>
      <c r="K60" s="3">
        <f>C20</f>
        <v>100</v>
      </c>
      <c r="L60" s="3" t="s">
        <v>60</v>
      </c>
      <c r="M60" s="3">
        <v>900</v>
      </c>
    </row>
    <row r="61" spans="2:13" x14ac:dyDescent="0.25">
      <c r="F61" s="3">
        <v>15</v>
      </c>
      <c r="G61" s="3" t="s">
        <v>35</v>
      </c>
      <c r="H61" s="3">
        <f>C21</f>
        <v>100</v>
      </c>
      <c r="I61" s="3" t="s">
        <v>57</v>
      </c>
      <c r="J61" s="3">
        <v>100</v>
      </c>
      <c r="K61" s="3">
        <f>C21</f>
        <v>100</v>
      </c>
      <c r="L61" s="3" t="s">
        <v>60</v>
      </c>
      <c r="M61" s="3">
        <v>900</v>
      </c>
    </row>
    <row r="62" spans="2:13" x14ac:dyDescent="0.25">
      <c r="F62" s="3">
        <v>16</v>
      </c>
      <c r="G62" s="3" t="s">
        <v>36</v>
      </c>
      <c r="H62" s="3">
        <f>C22</f>
        <v>200</v>
      </c>
      <c r="I62" s="3" t="s">
        <v>57</v>
      </c>
      <c r="J62" s="3">
        <v>200</v>
      </c>
      <c r="K62" s="3">
        <f>C22</f>
        <v>200</v>
      </c>
      <c r="L62" s="3" t="s">
        <v>60</v>
      </c>
      <c r="M62" s="3">
        <v>900</v>
      </c>
    </row>
    <row r="63" spans="2:13" x14ac:dyDescent="0.25">
      <c r="F63" s="3">
        <v>17</v>
      </c>
      <c r="G63" s="3" t="s">
        <v>31</v>
      </c>
      <c r="H63" s="3">
        <f>C23</f>
        <v>100</v>
      </c>
      <c r="I63" s="3" t="s">
        <v>57</v>
      </c>
      <c r="J63" s="3">
        <v>100</v>
      </c>
      <c r="K63" s="3">
        <f>C23</f>
        <v>100</v>
      </c>
      <c r="L63" s="3" t="s">
        <v>60</v>
      </c>
      <c r="M63" s="3">
        <v>900</v>
      </c>
    </row>
    <row r="64" spans="2:13" x14ac:dyDescent="0.25">
      <c r="F64" s="3">
        <v>18</v>
      </c>
      <c r="G64" s="3" t="s">
        <v>13</v>
      </c>
      <c r="H64" s="3">
        <f>C24</f>
        <v>100</v>
      </c>
      <c r="I64" s="3" t="s">
        <v>57</v>
      </c>
      <c r="J64" s="3">
        <v>100</v>
      </c>
      <c r="K64" s="3">
        <f>C24</f>
        <v>100</v>
      </c>
      <c r="L64" s="3" t="s">
        <v>60</v>
      </c>
      <c r="M64" s="3">
        <v>900</v>
      </c>
    </row>
    <row r="65" spans="6:13" x14ac:dyDescent="0.25">
      <c r="F65" s="3">
        <v>19</v>
      </c>
      <c r="G65" s="3" t="s">
        <v>32</v>
      </c>
      <c r="H65" s="3">
        <f>C25</f>
        <v>300</v>
      </c>
      <c r="I65" s="3" t="s">
        <v>57</v>
      </c>
      <c r="J65" s="3">
        <v>300</v>
      </c>
      <c r="K65" s="3">
        <f>C25</f>
        <v>300</v>
      </c>
      <c r="L65" s="3" t="s">
        <v>60</v>
      </c>
      <c r="M65" s="3">
        <v>900</v>
      </c>
    </row>
    <row r="66" spans="6:13" x14ac:dyDescent="0.25">
      <c r="F66" s="3">
        <v>20</v>
      </c>
      <c r="G66" s="3" t="s">
        <v>14</v>
      </c>
      <c r="H66" s="3">
        <f>C26</f>
        <v>300</v>
      </c>
      <c r="I66" s="3" t="s">
        <v>57</v>
      </c>
      <c r="J66" s="3">
        <v>300</v>
      </c>
      <c r="K66" s="3">
        <f>C26</f>
        <v>300</v>
      </c>
      <c r="L66" s="3" t="s">
        <v>60</v>
      </c>
      <c r="M66" s="3">
        <v>900</v>
      </c>
    </row>
    <row r="67" spans="6:13" x14ac:dyDescent="0.25">
      <c r="F67" s="3">
        <v>21</v>
      </c>
      <c r="G67" s="3" t="s">
        <v>15</v>
      </c>
      <c r="H67" s="3">
        <f>C27</f>
        <v>240</v>
      </c>
      <c r="I67" s="3" t="s">
        <v>60</v>
      </c>
      <c r="J67" s="3">
        <v>300</v>
      </c>
      <c r="K67" s="3">
        <f>C27</f>
        <v>240</v>
      </c>
      <c r="L67" s="3" t="s">
        <v>57</v>
      </c>
      <c r="M67" s="3">
        <v>240</v>
      </c>
    </row>
    <row r="68" spans="6:13" x14ac:dyDescent="0.25">
      <c r="F68" s="3">
        <v>22</v>
      </c>
      <c r="G68" s="5" t="s">
        <v>19</v>
      </c>
      <c r="H68" s="3">
        <f>C28</f>
        <v>300</v>
      </c>
      <c r="I68" s="21" t="s">
        <v>59</v>
      </c>
      <c r="J68" s="3">
        <f>10*30</f>
        <v>300</v>
      </c>
      <c r="K68" s="3"/>
      <c r="L68" s="3"/>
      <c r="M68" s="3"/>
    </row>
    <row r="69" spans="6:13" x14ac:dyDescent="0.25">
      <c r="F69" s="3">
        <v>23</v>
      </c>
      <c r="G69" s="5" t="s">
        <v>20</v>
      </c>
      <c r="H69" s="3">
        <f>C29</f>
        <v>50</v>
      </c>
      <c r="I69" s="21" t="s">
        <v>59</v>
      </c>
      <c r="J69" s="3">
        <f>50</f>
        <v>50</v>
      </c>
      <c r="K69" s="3"/>
      <c r="L69" s="3"/>
      <c r="M69" s="3"/>
    </row>
    <row r="70" spans="6:13" x14ac:dyDescent="0.25">
      <c r="F70" s="3">
        <v>24</v>
      </c>
      <c r="G70" s="5" t="s">
        <v>21</v>
      </c>
      <c r="H70" s="3">
        <f>C30</f>
        <v>300</v>
      </c>
      <c r="I70" s="21" t="s">
        <v>59</v>
      </c>
      <c r="J70" s="3">
        <f>10*30</f>
        <v>300</v>
      </c>
      <c r="K70" s="3"/>
      <c r="L70" s="3"/>
      <c r="M70" s="3"/>
    </row>
    <row r="71" spans="6:13" x14ac:dyDescent="0.25">
      <c r="F71" s="3">
        <v>25</v>
      </c>
      <c r="G71" s="5" t="s">
        <v>22</v>
      </c>
      <c r="H71" s="3">
        <f>C31</f>
        <v>45</v>
      </c>
      <c r="I71" s="21" t="s">
        <v>59</v>
      </c>
      <c r="J71" s="3">
        <v>45</v>
      </c>
      <c r="K71" s="3"/>
      <c r="L71" s="3"/>
      <c r="M71" s="3"/>
    </row>
    <row r="72" spans="6:13" x14ac:dyDescent="0.25">
      <c r="F72" s="3">
        <v>26</v>
      </c>
      <c r="G72" s="5" t="s">
        <v>23</v>
      </c>
      <c r="H72" s="3">
        <f>C32</f>
        <v>60</v>
      </c>
      <c r="I72" s="21" t="s">
        <v>59</v>
      </c>
      <c r="J72" s="3">
        <v>60</v>
      </c>
      <c r="K72" s="3"/>
      <c r="L72" s="3"/>
      <c r="M72" s="3"/>
    </row>
    <row r="73" spans="6:13" x14ac:dyDescent="0.25">
      <c r="F73" s="3">
        <v>27</v>
      </c>
      <c r="G73" s="5" t="s">
        <v>24</v>
      </c>
      <c r="H73" s="3">
        <f>C33</f>
        <v>450</v>
      </c>
      <c r="I73" s="21" t="s">
        <v>59</v>
      </c>
      <c r="J73" s="3">
        <v>450</v>
      </c>
      <c r="K73" s="3"/>
      <c r="L73" s="3"/>
      <c r="M73" s="3"/>
    </row>
    <row r="74" spans="6:13" x14ac:dyDescent="0.25">
      <c r="F74" s="3">
        <v>28</v>
      </c>
      <c r="G74" s="6" t="s">
        <v>16</v>
      </c>
      <c r="H74" s="3">
        <f>C34</f>
        <v>150</v>
      </c>
      <c r="I74" s="3" t="s">
        <v>57</v>
      </c>
      <c r="J74" s="3">
        <v>150</v>
      </c>
      <c r="K74" s="3">
        <f>C34</f>
        <v>150</v>
      </c>
      <c r="L74" s="3" t="s">
        <v>60</v>
      </c>
      <c r="M74" s="3">
        <v>180</v>
      </c>
    </row>
    <row r="75" spans="6:13" x14ac:dyDescent="0.25">
      <c r="F75" s="3">
        <v>29</v>
      </c>
      <c r="G75" s="6" t="s">
        <v>17</v>
      </c>
      <c r="H75" s="3">
        <f>C35</f>
        <v>25</v>
      </c>
      <c r="I75" s="3" t="s">
        <v>57</v>
      </c>
      <c r="J75" s="3">
        <v>25</v>
      </c>
      <c r="K75" s="3">
        <f>C35</f>
        <v>25</v>
      </c>
      <c r="L75" s="3" t="s">
        <v>60</v>
      </c>
      <c r="M75" s="3">
        <v>30</v>
      </c>
    </row>
    <row r="76" spans="6:13" x14ac:dyDescent="0.25">
      <c r="F76" s="3">
        <v>30</v>
      </c>
      <c r="G76" s="6" t="s">
        <v>18</v>
      </c>
      <c r="H76" s="3">
        <f>C36</f>
        <v>25</v>
      </c>
      <c r="I76" s="3" t="s">
        <v>57</v>
      </c>
      <c r="J76" s="3">
        <v>25</v>
      </c>
      <c r="K76" s="3">
        <f>C36</f>
        <v>25</v>
      </c>
      <c r="L76" s="3" t="s">
        <v>60</v>
      </c>
      <c r="M76" s="3">
        <v>30</v>
      </c>
    </row>
    <row r="77" spans="6:13" x14ac:dyDescent="0.25">
      <c r="F77" s="3">
        <v>31</v>
      </c>
      <c r="G77" s="5" t="s">
        <v>25</v>
      </c>
      <c r="H77" s="3">
        <f>C37</f>
        <v>1000</v>
      </c>
      <c r="I77" s="3" t="s">
        <v>57</v>
      </c>
      <c r="J77" s="3">
        <v>1000</v>
      </c>
      <c r="K77" s="3">
        <f>C37</f>
        <v>1000</v>
      </c>
      <c r="L77" s="3" t="s">
        <v>60</v>
      </c>
      <c r="M77" s="3">
        <v>1200</v>
      </c>
    </row>
    <row r="78" spans="6:13" x14ac:dyDescent="0.25">
      <c r="F78" s="3">
        <v>32</v>
      </c>
      <c r="G78" s="5" t="s">
        <v>26</v>
      </c>
      <c r="H78" s="3">
        <f>C38</f>
        <v>400</v>
      </c>
      <c r="I78" s="21" t="s">
        <v>59</v>
      </c>
      <c r="J78" s="3">
        <v>400</v>
      </c>
      <c r="K78" s="3"/>
      <c r="L78" s="3"/>
      <c r="M78" s="3"/>
    </row>
    <row r="79" spans="6:13" x14ac:dyDescent="0.25">
      <c r="F79" s="3">
        <v>33</v>
      </c>
      <c r="G79" s="3" t="s">
        <v>27</v>
      </c>
      <c r="H79" s="3">
        <f>C39</f>
        <v>2600</v>
      </c>
      <c r="I79" s="3" t="s">
        <v>57</v>
      </c>
      <c r="J79" s="3">
        <v>2550</v>
      </c>
      <c r="K79" s="3">
        <f>C39</f>
        <v>2600</v>
      </c>
      <c r="L79" s="3" t="s">
        <v>60</v>
      </c>
      <c r="M79" s="3">
        <v>2600</v>
      </c>
    </row>
    <row r="80" spans="6:13" x14ac:dyDescent="0.25">
      <c r="F80" s="3">
        <v>34</v>
      </c>
      <c r="G80" s="3" t="s">
        <v>58</v>
      </c>
      <c r="H80" s="3">
        <f>C40</f>
        <v>4</v>
      </c>
      <c r="I80" s="21" t="s">
        <v>59</v>
      </c>
      <c r="J80" s="3">
        <v>4</v>
      </c>
      <c r="K80" s="3"/>
      <c r="L80" s="3"/>
      <c r="M80" s="3">
        <v>0</v>
      </c>
    </row>
  </sheetData>
  <mergeCells count="2">
    <mergeCell ref="A1:H1"/>
    <mergeCell ref="N8:O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Muqtadir Fuad</dc:creator>
  <cp:lastModifiedBy>Md. Muqtadir Fuad</cp:lastModifiedBy>
  <dcterms:created xsi:type="dcterms:W3CDTF">2024-01-05T09:16:48Z</dcterms:created>
  <dcterms:modified xsi:type="dcterms:W3CDTF">2024-01-06T17:31:26Z</dcterms:modified>
</cp:coreProperties>
</file>