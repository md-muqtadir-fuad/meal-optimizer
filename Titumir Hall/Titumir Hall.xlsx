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mfua\OneDrive\Desktop\"/>
    </mc:Choice>
  </mc:AlternateContent>
  <bookViews>
    <workbookView xWindow="0" yWindow="0" windowWidth="15345" windowHeight="5970"/>
  </bookViews>
  <sheets>
    <sheet name="Sheet1" sheetId="1" r:id="rId1"/>
  </sheets>
  <definedNames>
    <definedName name="solver_adj" localSheetId="0" hidden="1">Sheet1!$C$7:$C$40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Sheet1!$C$47:$C$49</definedName>
    <definedName name="solver_lhs10" localSheetId="0" hidden="1">Sheet1!$K$47</definedName>
    <definedName name="solver_lhs2" localSheetId="0" hidden="1">Sheet1!$G$47:$G$52</definedName>
    <definedName name="solver_lhs3" localSheetId="0" hidden="1">Sheet1!$G$53:$G$56</definedName>
    <definedName name="solver_lhs4" localSheetId="0" hidden="1">Sheet1!$G$57</definedName>
    <definedName name="solver_lhs5" localSheetId="0" hidden="1">Sheet1!$G$58</definedName>
    <definedName name="solver_lhs6" localSheetId="0" hidden="1">Sheet1!$G$59</definedName>
    <definedName name="solver_lhs7" localSheetId="0" hidden="1">Sheet1!$G$60:$G$79</definedName>
    <definedName name="solver_lhs8" localSheetId="0" hidden="1">Sheet1!$G$80</definedName>
    <definedName name="solver_lhs9" localSheetId="0" hidden="1">Sheet1!$J$67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10</definedName>
    <definedName name="solver_nwt" localSheetId="0" hidden="1">1</definedName>
    <definedName name="solver_opt" localSheetId="0" hidden="1">Sheet1!$M$9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10" localSheetId="0" hidden="1">1</definedName>
    <definedName name="solver_rel2" localSheetId="0" hidden="1">2</definedName>
    <definedName name="solver_rel3" localSheetId="0" hidden="1">3</definedName>
    <definedName name="solver_rel4" localSheetId="0" hidden="1">2</definedName>
    <definedName name="solver_rel5" localSheetId="0" hidden="1">3</definedName>
    <definedName name="solver_rel6" localSheetId="0" hidden="1">2</definedName>
    <definedName name="solver_rel7" localSheetId="0" hidden="1">3</definedName>
    <definedName name="solver_rel8" localSheetId="0" hidden="1">1</definedName>
    <definedName name="solver_rel9" localSheetId="0" hidden="1">1</definedName>
    <definedName name="solver_rhs1" localSheetId="0" hidden="1">Sheet1!$E$47:$E$49</definedName>
    <definedName name="solver_rhs10" localSheetId="0" hidden="1">Sheet1!$M$47</definedName>
    <definedName name="solver_rhs2" localSheetId="0" hidden="1">Sheet1!$I$47:$I$52</definedName>
    <definedName name="solver_rhs3" localSheetId="0" hidden="1">Sheet1!$I$53:$I$56</definedName>
    <definedName name="solver_rhs4" localSheetId="0" hidden="1">Sheet1!$I$57</definedName>
    <definedName name="solver_rhs5" localSheetId="0" hidden="1">Sheet1!$I$58</definedName>
    <definedName name="solver_rhs6" localSheetId="0" hidden="1">Sheet1!$I$59</definedName>
    <definedName name="solver_rhs7" localSheetId="0" hidden="1">Sheet1!$I$60:$I$79</definedName>
    <definedName name="solver_rhs8" localSheetId="0" hidden="1">Sheet1!$I$80</definedName>
    <definedName name="solver_rhs9" localSheetId="0" hidden="1">Sheet1!$L$67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I49" i="1"/>
  <c r="I47" i="1"/>
  <c r="J67" i="1"/>
  <c r="M9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60" i="1"/>
  <c r="I48" i="1"/>
  <c r="K47" i="1"/>
  <c r="G48" i="1"/>
  <c r="G49" i="1"/>
  <c r="G50" i="1"/>
  <c r="G51" i="1"/>
  <c r="G52" i="1"/>
  <c r="G53" i="1"/>
  <c r="G54" i="1"/>
  <c r="G55" i="1"/>
  <c r="G56" i="1"/>
  <c r="G57" i="1"/>
  <c r="G47" i="1"/>
  <c r="C49" i="1"/>
  <c r="C48" i="1"/>
  <c r="E49" i="1"/>
  <c r="E48" i="1"/>
  <c r="E47" i="1"/>
  <c r="C47" i="1"/>
  <c r="G59" i="1"/>
  <c r="G58" i="1"/>
</calcChain>
</file>

<file path=xl/sharedStrings.xml><?xml version="1.0" encoding="utf-8"?>
<sst xmlns="http://schemas.openxmlformats.org/spreadsheetml/2006/main" count="190" uniqueCount="63">
  <si>
    <t>Name: Md. Muqtadir Fuad</t>
  </si>
  <si>
    <t>Student ID: 2008079</t>
  </si>
  <si>
    <t>Chicken</t>
  </si>
  <si>
    <t>Egg</t>
  </si>
  <si>
    <t>Tilapia</t>
  </si>
  <si>
    <t>Salmon(Rui)</t>
  </si>
  <si>
    <t xml:space="preserve">Ingredient </t>
  </si>
  <si>
    <t>Common Carp (Karfu)</t>
  </si>
  <si>
    <t>Bean</t>
  </si>
  <si>
    <t>Eggplant</t>
  </si>
  <si>
    <t>White Radish</t>
  </si>
  <si>
    <t>Papaya</t>
  </si>
  <si>
    <t>Potato</t>
  </si>
  <si>
    <t>Broccoli</t>
  </si>
  <si>
    <t>Cauliflower</t>
  </si>
  <si>
    <t>Soybean Oil</t>
  </si>
  <si>
    <t>Beef</t>
  </si>
  <si>
    <t>Mutton</t>
  </si>
  <si>
    <t>Bagda Chingri</t>
  </si>
  <si>
    <t>Salt</t>
  </si>
  <si>
    <t>Turmeric Powder</t>
  </si>
  <si>
    <t>Green Chili</t>
  </si>
  <si>
    <t>Coriander leaves</t>
  </si>
  <si>
    <t>Tomato</t>
  </si>
  <si>
    <t>Onion</t>
  </si>
  <si>
    <t>Lentils</t>
  </si>
  <si>
    <t>Lemon</t>
  </si>
  <si>
    <t>Rice</t>
  </si>
  <si>
    <t>Preoject: Titumir Hall’s Meal Optimization (Individual)</t>
  </si>
  <si>
    <t>Red amaranth</t>
  </si>
  <si>
    <t>Spinch</t>
  </si>
  <si>
    <t>Pumpkin Leaves</t>
  </si>
  <si>
    <t>Cabbage</t>
  </si>
  <si>
    <t>Climbing perch fish</t>
  </si>
  <si>
    <t>Fresh water Catfish</t>
  </si>
  <si>
    <t>Long Bean</t>
  </si>
  <si>
    <t>Gourd</t>
  </si>
  <si>
    <t>Sl No</t>
  </si>
  <si>
    <t>Ingredients</t>
  </si>
  <si>
    <t>Protein</t>
  </si>
  <si>
    <t>Carbs</t>
  </si>
  <si>
    <t>Fat</t>
  </si>
  <si>
    <t>-</t>
  </si>
  <si>
    <t>Price/kg</t>
  </si>
  <si>
    <t>Quantity(kg)</t>
  </si>
  <si>
    <t>Constraints</t>
  </si>
  <si>
    <t>Nutrient Per 100g ingredient</t>
  </si>
  <si>
    <t>Least Nutrition Requirement</t>
  </si>
  <si>
    <t>Objective Function</t>
  </si>
  <si>
    <t>Spinach</t>
  </si>
  <si>
    <t>Budget  Constraints</t>
  </si>
  <si>
    <t>Value Constraints</t>
  </si>
  <si>
    <t>Least Nutritional Requirement(daily per student)</t>
  </si>
  <si>
    <t>Nutrients</t>
  </si>
  <si>
    <t>Carbohydrate</t>
  </si>
  <si>
    <t>Least Daiy Intake(g)</t>
  </si>
  <si>
    <t>Transportation Expenses</t>
  </si>
  <si>
    <t>&gt;=</t>
  </si>
  <si>
    <t>Transportation</t>
  </si>
  <si>
    <t>=</t>
  </si>
  <si>
    <t>&lt;=</t>
  </si>
  <si>
    <t>Total Budget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</si>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</sst>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/>
    </xf>
    <xf numFmtId="0" fontId="0" fillId="0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abSelected="1" workbookViewId="0">
      <selection activeCell="E19" sqref="E19"/>
    </sheetView>
  </sheetViews>
  <sheetFormatPr defaultRowHeight="15" x14ac:dyDescent="0.25"/>
  <cols>
    <col min="1" max="1" width="9.140625" customWidth="1"/>
    <col min="2" max="2" width="19.28515625" customWidth="1"/>
    <col min="3" max="3" width="12.28515625" customWidth="1"/>
    <col min="6" max="6" width="15.85546875" customWidth="1"/>
    <col min="7" max="7" width="19.42578125" customWidth="1"/>
    <col min="10" max="10" width="16.85546875" customWidth="1"/>
    <col min="13" max="13" width="15" customWidth="1"/>
    <col min="14" max="14" width="18.5703125" bestFit="1" customWidth="1"/>
  </cols>
  <sheetData>
    <row r="1" spans="1:14" ht="18.75" x14ac:dyDescent="0.3">
      <c r="A1" s="5" t="s">
        <v>28</v>
      </c>
      <c r="B1" s="5"/>
      <c r="C1" s="5"/>
      <c r="D1" s="5"/>
      <c r="E1" s="5"/>
      <c r="F1" s="5"/>
      <c r="G1" s="5"/>
    </row>
    <row r="2" spans="1:14" ht="15.75" x14ac:dyDescent="0.25">
      <c r="A2" s="1" t="s">
        <v>0</v>
      </c>
    </row>
    <row r="3" spans="1:14" ht="15.75" x14ac:dyDescent="0.25">
      <c r="A3" s="1" t="s">
        <v>1</v>
      </c>
    </row>
    <row r="4" spans="1:14" ht="15.75" x14ac:dyDescent="0.25">
      <c r="A4" s="1"/>
    </row>
    <row r="5" spans="1:14" x14ac:dyDescent="0.25">
      <c r="H5" t="s">
        <v>46</v>
      </c>
    </row>
    <row r="6" spans="1:14" x14ac:dyDescent="0.25">
      <c r="B6" t="s">
        <v>6</v>
      </c>
      <c r="C6" t="s">
        <v>44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43</v>
      </c>
    </row>
    <row r="7" spans="1:14" x14ac:dyDescent="0.25">
      <c r="A7">
        <v>1</v>
      </c>
      <c r="B7" t="s">
        <v>2</v>
      </c>
      <c r="C7">
        <v>557.13663011574272</v>
      </c>
      <c r="F7">
        <v>1</v>
      </c>
      <c r="G7" t="s">
        <v>2</v>
      </c>
      <c r="H7">
        <v>31</v>
      </c>
      <c r="I7">
        <v>0</v>
      </c>
      <c r="J7">
        <v>3.6</v>
      </c>
      <c r="K7">
        <v>180</v>
      </c>
    </row>
    <row r="8" spans="1:14" x14ac:dyDescent="0.25">
      <c r="A8">
        <v>2</v>
      </c>
      <c r="B8" t="s">
        <v>3</v>
      </c>
      <c r="C8">
        <v>211.94494783224803</v>
      </c>
      <c r="D8">
        <f>ROUNDDOWN(C8*30,0)</f>
        <v>6358</v>
      </c>
      <c r="E8" t="s">
        <v>62</v>
      </c>
      <c r="F8">
        <v>2</v>
      </c>
      <c r="G8" t="s">
        <v>3</v>
      </c>
      <c r="H8">
        <v>13</v>
      </c>
      <c r="I8">
        <v>0.7</v>
      </c>
      <c r="J8">
        <v>9.5</v>
      </c>
      <c r="K8">
        <v>160</v>
      </c>
      <c r="M8" t="s">
        <v>48</v>
      </c>
    </row>
    <row r="9" spans="1:14" x14ac:dyDescent="0.25">
      <c r="A9">
        <v>3</v>
      </c>
      <c r="B9" t="s">
        <v>4</v>
      </c>
      <c r="C9">
        <v>30</v>
      </c>
      <c r="F9">
        <v>3</v>
      </c>
      <c r="G9" t="s">
        <v>4</v>
      </c>
      <c r="H9">
        <v>26</v>
      </c>
      <c r="I9">
        <v>0</v>
      </c>
      <c r="J9">
        <v>2.7</v>
      </c>
      <c r="K9">
        <v>250</v>
      </c>
      <c r="M9" s="7">
        <f>SUMPRODUCT(C7:C40,K7:K40)</f>
        <v>817752.63960348873</v>
      </c>
    </row>
    <row r="10" spans="1:14" x14ac:dyDescent="0.25">
      <c r="A10">
        <v>4</v>
      </c>
      <c r="B10" t="s">
        <v>5</v>
      </c>
      <c r="C10">
        <v>30.000000000000004</v>
      </c>
      <c r="F10">
        <v>4</v>
      </c>
      <c r="G10" t="s">
        <v>5</v>
      </c>
      <c r="H10">
        <v>22</v>
      </c>
      <c r="I10">
        <v>0</v>
      </c>
      <c r="J10">
        <v>12</v>
      </c>
      <c r="K10">
        <v>330</v>
      </c>
    </row>
    <row r="11" spans="1:14" x14ac:dyDescent="0.25">
      <c r="A11">
        <v>5</v>
      </c>
      <c r="B11" t="s">
        <v>33</v>
      </c>
      <c r="C11">
        <v>30</v>
      </c>
      <c r="F11">
        <v>5</v>
      </c>
      <c r="G11" t="s">
        <v>33</v>
      </c>
      <c r="H11">
        <v>22.6</v>
      </c>
      <c r="I11">
        <v>14</v>
      </c>
      <c r="J11">
        <v>12.5</v>
      </c>
      <c r="K11">
        <v>450</v>
      </c>
    </row>
    <row r="12" spans="1:14" x14ac:dyDescent="0.25">
      <c r="A12">
        <v>6</v>
      </c>
      <c r="B12" t="s">
        <v>34</v>
      </c>
      <c r="C12">
        <v>30</v>
      </c>
      <c r="F12">
        <v>6</v>
      </c>
      <c r="G12" t="s">
        <v>34</v>
      </c>
      <c r="H12">
        <v>18</v>
      </c>
      <c r="I12">
        <v>0</v>
      </c>
      <c r="J12">
        <v>7.2</v>
      </c>
      <c r="K12">
        <v>610</v>
      </c>
    </row>
    <row r="13" spans="1:14" x14ac:dyDescent="0.25">
      <c r="A13">
        <v>7</v>
      </c>
      <c r="B13" t="s">
        <v>7</v>
      </c>
      <c r="C13">
        <v>30</v>
      </c>
      <c r="F13">
        <v>7</v>
      </c>
      <c r="G13" t="s">
        <v>7</v>
      </c>
      <c r="H13">
        <v>24</v>
      </c>
      <c r="I13">
        <v>0</v>
      </c>
      <c r="J13">
        <v>8.1</v>
      </c>
      <c r="K13">
        <v>310</v>
      </c>
      <c r="M13" t="s">
        <v>52</v>
      </c>
    </row>
    <row r="14" spans="1:14" x14ac:dyDescent="0.25">
      <c r="A14">
        <v>8</v>
      </c>
      <c r="B14" t="s">
        <v>8</v>
      </c>
      <c r="C14">
        <v>600</v>
      </c>
      <c r="F14">
        <v>8</v>
      </c>
      <c r="G14" t="s">
        <v>8</v>
      </c>
      <c r="H14">
        <v>8.6999999999999993</v>
      </c>
      <c r="I14">
        <v>23</v>
      </c>
      <c r="J14">
        <v>0.5</v>
      </c>
      <c r="K14">
        <v>65</v>
      </c>
      <c r="M14" t="s">
        <v>53</v>
      </c>
      <c r="N14" t="s">
        <v>55</v>
      </c>
    </row>
    <row r="15" spans="1:14" x14ac:dyDescent="0.25">
      <c r="A15">
        <v>9</v>
      </c>
      <c r="B15" t="s">
        <v>9</v>
      </c>
      <c r="C15">
        <v>30</v>
      </c>
      <c r="F15">
        <v>9</v>
      </c>
      <c r="G15" t="s">
        <v>9</v>
      </c>
      <c r="H15">
        <v>0.8</v>
      </c>
      <c r="I15">
        <v>8.6999999999999993</v>
      </c>
      <c r="J15">
        <v>0.2</v>
      </c>
      <c r="K15">
        <v>25</v>
      </c>
      <c r="M15" t="s">
        <v>39</v>
      </c>
      <c r="N15">
        <v>50</v>
      </c>
    </row>
    <row r="16" spans="1:14" x14ac:dyDescent="0.25">
      <c r="A16">
        <v>10</v>
      </c>
      <c r="B16" t="s">
        <v>10</v>
      </c>
      <c r="C16">
        <v>30</v>
      </c>
      <c r="F16">
        <v>10</v>
      </c>
      <c r="G16" t="s">
        <v>10</v>
      </c>
      <c r="H16">
        <v>0.7</v>
      </c>
      <c r="I16">
        <v>3.4</v>
      </c>
      <c r="J16">
        <v>0.2</v>
      </c>
      <c r="K16">
        <v>12</v>
      </c>
      <c r="M16" t="s">
        <v>54</v>
      </c>
      <c r="N16">
        <v>150</v>
      </c>
    </row>
    <row r="17" spans="1:14" x14ac:dyDescent="0.25">
      <c r="A17">
        <v>11</v>
      </c>
      <c r="B17" t="s">
        <v>11</v>
      </c>
      <c r="C17">
        <v>30</v>
      </c>
      <c r="F17">
        <v>11</v>
      </c>
      <c r="G17" t="s">
        <v>11</v>
      </c>
      <c r="H17">
        <v>0.5</v>
      </c>
      <c r="I17">
        <v>11</v>
      </c>
      <c r="J17">
        <v>0.3</v>
      </c>
      <c r="K17">
        <v>80</v>
      </c>
      <c r="M17" t="s">
        <v>41</v>
      </c>
      <c r="N17">
        <v>30</v>
      </c>
    </row>
    <row r="18" spans="1:14" x14ac:dyDescent="0.25">
      <c r="A18">
        <v>12</v>
      </c>
      <c r="B18" t="s">
        <v>12</v>
      </c>
      <c r="C18">
        <v>30</v>
      </c>
      <c r="F18">
        <v>12</v>
      </c>
      <c r="G18" t="s">
        <v>12</v>
      </c>
      <c r="H18">
        <v>2.5</v>
      </c>
      <c r="I18">
        <v>21</v>
      </c>
      <c r="J18">
        <v>0.1</v>
      </c>
      <c r="K18">
        <v>50</v>
      </c>
    </row>
    <row r="19" spans="1:14" x14ac:dyDescent="0.25">
      <c r="A19">
        <v>13</v>
      </c>
      <c r="B19" s="2" t="s">
        <v>29</v>
      </c>
      <c r="C19">
        <v>30</v>
      </c>
      <c r="F19">
        <v>13</v>
      </c>
      <c r="G19" s="2" t="s">
        <v>29</v>
      </c>
      <c r="H19">
        <v>2.8</v>
      </c>
      <c r="I19">
        <v>5.4</v>
      </c>
      <c r="J19">
        <v>0.2</v>
      </c>
      <c r="K19">
        <v>30</v>
      </c>
    </row>
    <row r="20" spans="1:14" x14ac:dyDescent="0.25">
      <c r="A20">
        <v>14</v>
      </c>
      <c r="B20" t="s">
        <v>30</v>
      </c>
      <c r="C20">
        <v>30</v>
      </c>
      <c r="F20">
        <v>14</v>
      </c>
      <c r="G20" t="s">
        <v>49</v>
      </c>
      <c r="H20">
        <v>3</v>
      </c>
      <c r="I20">
        <v>3.8</v>
      </c>
      <c r="J20">
        <v>0.3</v>
      </c>
      <c r="K20">
        <v>35</v>
      </c>
    </row>
    <row r="21" spans="1:14" x14ac:dyDescent="0.25">
      <c r="A21">
        <v>15</v>
      </c>
      <c r="B21" t="s">
        <v>35</v>
      </c>
      <c r="C21">
        <v>30</v>
      </c>
      <c r="F21">
        <v>15</v>
      </c>
      <c r="G21" t="s">
        <v>35</v>
      </c>
      <c r="H21">
        <v>2.8</v>
      </c>
      <c r="I21">
        <v>8.3000000000000007</v>
      </c>
      <c r="J21">
        <v>0.4</v>
      </c>
      <c r="K21">
        <v>110</v>
      </c>
    </row>
    <row r="22" spans="1:14" x14ac:dyDescent="0.25">
      <c r="A22">
        <v>16</v>
      </c>
      <c r="B22" t="s">
        <v>36</v>
      </c>
      <c r="C22">
        <v>30</v>
      </c>
      <c r="F22">
        <v>16</v>
      </c>
      <c r="G22" t="s">
        <v>36</v>
      </c>
      <c r="H22">
        <v>0.9</v>
      </c>
      <c r="I22">
        <v>5.4</v>
      </c>
      <c r="J22">
        <v>0</v>
      </c>
      <c r="K22">
        <v>30</v>
      </c>
    </row>
    <row r="23" spans="1:14" x14ac:dyDescent="0.25">
      <c r="A23">
        <v>17</v>
      </c>
      <c r="B23" t="s">
        <v>31</v>
      </c>
      <c r="C23">
        <v>30</v>
      </c>
      <c r="F23">
        <v>17</v>
      </c>
      <c r="G23" t="s">
        <v>31</v>
      </c>
      <c r="H23">
        <v>3.15</v>
      </c>
      <c r="I23">
        <v>2.33</v>
      </c>
      <c r="J23">
        <v>0.4</v>
      </c>
      <c r="K23">
        <v>50</v>
      </c>
    </row>
    <row r="24" spans="1:14" x14ac:dyDescent="0.25">
      <c r="A24">
        <v>18</v>
      </c>
      <c r="B24" t="s">
        <v>13</v>
      </c>
      <c r="C24">
        <v>30</v>
      </c>
      <c r="F24">
        <v>18</v>
      </c>
      <c r="G24" t="s">
        <v>13</v>
      </c>
      <c r="H24">
        <v>2.4</v>
      </c>
      <c r="I24">
        <v>7.2</v>
      </c>
      <c r="J24">
        <v>0.4</v>
      </c>
      <c r="K24">
        <v>60</v>
      </c>
    </row>
    <row r="25" spans="1:14" x14ac:dyDescent="0.25">
      <c r="A25">
        <v>19</v>
      </c>
      <c r="B25" t="s">
        <v>32</v>
      </c>
      <c r="C25">
        <v>30</v>
      </c>
      <c r="F25">
        <v>19</v>
      </c>
      <c r="G25" t="s">
        <v>32</v>
      </c>
      <c r="H25">
        <v>1.3</v>
      </c>
      <c r="I25">
        <v>5.5</v>
      </c>
      <c r="J25">
        <v>0.1</v>
      </c>
      <c r="K25">
        <v>30</v>
      </c>
    </row>
    <row r="26" spans="1:14" x14ac:dyDescent="0.25">
      <c r="A26">
        <v>20</v>
      </c>
      <c r="B26" t="s">
        <v>14</v>
      </c>
      <c r="C26">
        <v>30</v>
      </c>
      <c r="F26">
        <v>20</v>
      </c>
      <c r="G26" t="s">
        <v>14</v>
      </c>
      <c r="H26">
        <v>1.8</v>
      </c>
      <c r="I26">
        <v>4.0999999999999996</v>
      </c>
      <c r="J26">
        <v>0.5</v>
      </c>
      <c r="K26">
        <v>30</v>
      </c>
    </row>
    <row r="27" spans="1:14" x14ac:dyDescent="0.25">
      <c r="A27">
        <v>21</v>
      </c>
      <c r="B27" t="s">
        <v>15</v>
      </c>
      <c r="C27">
        <v>200</v>
      </c>
      <c r="F27">
        <v>21</v>
      </c>
      <c r="G27" t="s">
        <v>15</v>
      </c>
      <c r="H27">
        <v>0</v>
      </c>
      <c r="I27">
        <v>0</v>
      </c>
      <c r="J27">
        <v>100</v>
      </c>
      <c r="K27">
        <v>160</v>
      </c>
    </row>
    <row r="28" spans="1:14" x14ac:dyDescent="0.25">
      <c r="A28">
        <v>23</v>
      </c>
      <c r="B28" s="4" t="s">
        <v>19</v>
      </c>
      <c r="C28">
        <v>300</v>
      </c>
      <c r="F28">
        <v>23</v>
      </c>
      <c r="G28" s="4" t="s">
        <v>19</v>
      </c>
      <c r="H28" t="s">
        <v>42</v>
      </c>
      <c r="I28" t="s">
        <v>42</v>
      </c>
      <c r="J28" t="s">
        <v>42</v>
      </c>
      <c r="K28">
        <v>35</v>
      </c>
    </row>
    <row r="29" spans="1:14" x14ac:dyDescent="0.25">
      <c r="A29">
        <v>24</v>
      </c>
      <c r="B29" s="4" t="s">
        <v>20</v>
      </c>
      <c r="C29">
        <v>50</v>
      </c>
      <c r="F29">
        <v>24</v>
      </c>
      <c r="G29" s="4" t="s">
        <v>20</v>
      </c>
      <c r="H29" t="s">
        <v>42</v>
      </c>
      <c r="I29" t="s">
        <v>42</v>
      </c>
      <c r="J29" t="s">
        <v>42</v>
      </c>
      <c r="K29">
        <v>440</v>
      </c>
    </row>
    <row r="30" spans="1:14" x14ac:dyDescent="0.25">
      <c r="A30">
        <v>25</v>
      </c>
      <c r="B30" s="4" t="s">
        <v>21</v>
      </c>
      <c r="C30">
        <v>300</v>
      </c>
      <c r="F30">
        <v>25</v>
      </c>
      <c r="G30" s="4" t="s">
        <v>21</v>
      </c>
      <c r="H30" t="s">
        <v>42</v>
      </c>
      <c r="I30" t="s">
        <v>42</v>
      </c>
      <c r="J30" t="s">
        <v>42</v>
      </c>
      <c r="K30">
        <v>60</v>
      </c>
    </row>
    <row r="31" spans="1:14" x14ac:dyDescent="0.25">
      <c r="A31">
        <v>26</v>
      </c>
      <c r="B31" s="4" t="s">
        <v>22</v>
      </c>
      <c r="C31">
        <v>45</v>
      </c>
      <c r="F31">
        <v>26</v>
      </c>
      <c r="G31" s="4" t="s">
        <v>22</v>
      </c>
      <c r="H31" t="s">
        <v>42</v>
      </c>
      <c r="I31" t="s">
        <v>42</v>
      </c>
      <c r="J31" t="s">
        <v>42</v>
      </c>
      <c r="K31">
        <v>35</v>
      </c>
    </row>
    <row r="32" spans="1:14" x14ac:dyDescent="0.25">
      <c r="A32">
        <v>27</v>
      </c>
      <c r="B32" s="4" t="s">
        <v>23</v>
      </c>
      <c r="C32">
        <v>60</v>
      </c>
      <c r="F32">
        <v>27</v>
      </c>
      <c r="G32" s="4" t="s">
        <v>23</v>
      </c>
      <c r="H32" t="s">
        <v>42</v>
      </c>
      <c r="I32" t="s">
        <v>42</v>
      </c>
      <c r="J32" t="s">
        <v>42</v>
      </c>
      <c r="K32">
        <v>50</v>
      </c>
    </row>
    <row r="33" spans="1:13" x14ac:dyDescent="0.25">
      <c r="A33">
        <v>28</v>
      </c>
      <c r="B33" s="4" t="s">
        <v>24</v>
      </c>
      <c r="C33">
        <v>450</v>
      </c>
      <c r="F33">
        <v>28</v>
      </c>
      <c r="G33" s="4" t="s">
        <v>24</v>
      </c>
      <c r="H33" t="s">
        <v>42</v>
      </c>
      <c r="I33" t="s">
        <v>42</v>
      </c>
      <c r="J33" t="s">
        <v>42</v>
      </c>
      <c r="K33">
        <v>80</v>
      </c>
    </row>
    <row r="34" spans="1:13" x14ac:dyDescent="0.25">
      <c r="A34">
        <v>29</v>
      </c>
      <c r="B34" s="3" t="s">
        <v>16</v>
      </c>
      <c r="C34">
        <v>150</v>
      </c>
      <c r="F34">
        <v>29</v>
      </c>
      <c r="G34" s="3" t="s">
        <v>16</v>
      </c>
      <c r="H34">
        <v>26</v>
      </c>
      <c r="I34">
        <v>0</v>
      </c>
      <c r="J34">
        <v>17</v>
      </c>
      <c r="K34">
        <v>650</v>
      </c>
    </row>
    <row r="35" spans="1:13" x14ac:dyDescent="0.25">
      <c r="A35">
        <v>30</v>
      </c>
      <c r="B35" s="3" t="s">
        <v>17</v>
      </c>
      <c r="C35">
        <v>25</v>
      </c>
      <c r="F35">
        <v>30</v>
      </c>
      <c r="G35" s="3" t="s">
        <v>17</v>
      </c>
      <c r="H35">
        <v>25</v>
      </c>
      <c r="I35">
        <v>0</v>
      </c>
      <c r="J35">
        <v>21</v>
      </c>
      <c r="K35">
        <v>1000</v>
      </c>
    </row>
    <row r="36" spans="1:13" x14ac:dyDescent="0.25">
      <c r="A36">
        <v>31</v>
      </c>
      <c r="B36" s="3" t="s">
        <v>18</v>
      </c>
      <c r="C36">
        <v>25</v>
      </c>
      <c r="F36">
        <v>31</v>
      </c>
      <c r="G36" s="3" t="s">
        <v>18</v>
      </c>
      <c r="H36">
        <v>23</v>
      </c>
      <c r="I36">
        <v>1.5</v>
      </c>
      <c r="J36">
        <v>1.7</v>
      </c>
      <c r="K36">
        <v>450</v>
      </c>
    </row>
    <row r="37" spans="1:13" x14ac:dyDescent="0.25">
      <c r="A37">
        <v>32</v>
      </c>
      <c r="B37" s="4" t="s">
        <v>25</v>
      </c>
      <c r="C37">
        <v>450</v>
      </c>
      <c r="F37">
        <v>32</v>
      </c>
      <c r="G37" s="4" t="s">
        <v>25</v>
      </c>
      <c r="H37">
        <v>9</v>
      </c>
      <c r="I37">
        <v>20</v>
      </c>
      <c r="J37">
        <v>0.4</v>
      </c>
      <c r="K37">
        <v>95</v>
      </c>
    </row>
    <row r="38" spans="1:13" x14ac:dyDescent="0.25">
      <c r="A38">
        <v>33</v>
      </c>
      <c r="B38" s="4" t="s">
        <v>26</v>
      </c>
      <c r="C38">
        <v>420</v>
      </c>
      <c r="F38">
        <v>33</v>
      </c>
      <c r="G38" s="4" t="s">
        <v>26</v>
      </c>
      <c r="H38">
        <v>1.1000000000000001</v>
      </c>
      <c r="I38">
        <v>9.3000000000000007</v>
      </c>
      <c r="J38">
        <v>0.3</v>
      </c>
      <c r="K38">
        <v>120</v>
      </c>
    </row>
    <row r="39" spans="1:13" x14ac:dyDescent="0.25">
      <c r="A39">
        <v>34</v>
      </c>
      <c r="B39" s="4" t="s">
        <v>27</v>
      </c>
      <c r="C39">
        <v>4364.4370905899077</v>
      </c>
      <c r="F39">
        <v>34</v>
      </c>
      <c r="G39" s="4" t="s">
        <v>27</v>
      </c>
      <c r="H39">
        <v>2.7</v>
      </c>
      <c r="I39">
        <v>28</v>
      </c>
      <c r="J39">
        <v>0.3</v>
      </c>
      <c r="K39">
        <v>50</v>
      </c>
    </row>
    <row r="40" spans="1:13" x14ac:dyDescent="0.25">
      <c r="A40">
        <v>35</v>
      </c>
      <c r="B40" s="6" t="s">
        <v>56</v>
      </c>
      <c r="C40">
        <v>4</v>
      </c>
      <c r="F40">
        <v>35</v>
      </c>
      <c r="G40" s="6" t="s">
        <v>56</v>
      </c>
      <c r="H40" t="s">
        <v>42</v>
      </c>
      <c r="I40" t="s">
        <v>42</v>
      </c>
      <c r="J40" t="s">
        <v>42</v>
      </c>
      <c r="K40">
        <v>400</v>
      </c>
    </row>
    <row r="45" spans="1:13" x14ac:dyDescent="0.25">
      <c r="B45" t="s">
        <v>45</v>
      </c>
    </row>
    <row r="46" spans="1:13" x14ac:dyDescent="0.25">
      <c r="B46" t="s">
        <v>47</v>
      </c>
      <c r="F46" t="s">
        <v>51</v>
      </c>
      <c r="J46" t="s">
        <v>50</v>
      </c>
    </row>
    <row r="47" spans="1:13" x14ac:dyDescent="0.25">
      <c r="B47" t="s">
        <v>39</v>
      </c>
      <c r="C47">
        <f>SUMPRODUCT(C7:C27,H7:H27)*10+SUMPRODUCT(C34:C39,H34:H39)*10</f>
        <v>507000</v>
      </c>
      <c r="D47" t="s">
        <v>57</v>
      </c>
      <c r="E47">
        <f>338*30*50</f>
        <v>507000</v>
      </c>
      <c r="F47" s="4" t="s">
        <v>19</v>
      </c>
      <c r="G47">
        <f>C28</f>
        <v>300</v>
      </c>
      <c r="H47" t="s">
        <v>59</v>
      </c>
      <c r="I47">
        <f>10*30</f>
        <v>300</v>
      </c>
      <c r="J47" t="s">
        <v>61</v>
      </c>
      <c r="K47">
        <f>SUMPRODUCT(C7:C40,K7:K40)</f>
        <v>817752.63960348873</v>
      </c>
      <c r="L47" t="s">
        <v>60</v>
      </c>
      <c r="M47">
        <v>1200000</v>
      </c>
    </row>
    <row r="48" spans="1:13" x14ac:dyDescent="0.25">
      <c r="B48" t="s">
        <v>40</v>
      </c>
      <c r="C48">
        <f>SUMPRODUCT(C7:C27,I7:I27)*10+SUMPRODUCT(C34:C39,I34:I39)*10</f>
        <v>1521000</v>
      </c>
      <c r="D48" t="s">
        <v>57</v>
      </c>
      <c r="E48">
        <f>338*30*150</f>
        <v>1521000</v>
      </c>
      <c r="F48" s="4" t="s">
        <v>20</v>
      </c>
      <c r="G48">
        <f>C29</f>
        <v>50</v>
      </c>
      <c r="H48" t="s">
        <v>59</v>
      </c>
      <c r="I48">
        <f>50</f>
        <v>50</v>
      </c>
    </row>
    <row r="49" spans="2:9" x14ac:dyDescent="0.25">
      <c r="B49" t="s">
        <v>41</v>
      </c>
      <c r="C49">
        <f>SUMPRODUCT(C7:C27,J7:J27)*10+SUMPRODUCT(C34:C39,J34:J39)*10</f>
        <v>304200</v>
      </c>
      <c r="D49" t="s">
        <v>57</v>
      </c>
      <c r="E49">
        <f>338*30*30</f>
        <v>304200</v>
      </c>
      <c r="F49" s="4" t="s">
        <v>21</v>
      </c>
      <c r="G49">
        <f>C30</f>
        <v>300</v>
      </c>
      <c r="H49" t="s">
        <v>59</v>
      </c>
      <c r="I49">
        <f>10*30</f>
        <v>300</v>
      </c>
    </row>
    <row r="50" spans="2:9" x14ac:dyDescent="0.25">
      <c r="F50" s="4" t="s">
        <v>22</v>
      </c>
      <c r="G50">
        <f>C31</f>
        <v>45</v>
      </c>
      <c r="H50" t="s">
        <v>59</v>
      </c>
      <c r="I50">
        <v>45</v>
      </c>
    </row>
    <row r="51" spans="2:9" x14ac:dyDescent="0.25">
      <c r="F51" s="4" t="s">
        <v>23</v>
      </c>
      <c r="G51">
        <f>C32</f>
        <v>60</v>
      </c>
      <c r="H51" t="s">
        <v>59</v>
      </c>
      <c r="I51">
        <v>60</v>
      </c>
    </row>
    <row r="52" spans="2:9" x14ac:dyDescent="0.25">
      <c r="F52" s="4" t="s">
        <v>24</v>
      </c>
      <c r="G52">
        <f>C33</f>
        <v>450</v>
      </c>
      <c r="H52" t="s">
        <v>59</v>
      </c>
      <c r="I52">
        <v>450</v>
      </c>
    </row>
    <row r="53" spans="2:9" x14ac:dyDescent="0.25">
      <c r="F53" s="3" t="s">
        <v>16</v>
      </c>
      <c r="G53">
        <f>C34</f>
        <v>150</v>
      </c>
      <c r="H53" t="s">
        <v>57</v>
      </c>
      <c r="I53">
        <v>150</v>
      </c>
    </row>
    <row r="54" spans="2:9" x14ac:dyDescent="0.25">
      <c r="F54" s="3" t="s">
        <v>17</v>
      </c>
      <c r="G54">
        <f>C35</f>
        <v>25</v>
      </c>
      <c r="H54" t="s">
        <v>57</v>
      </c>
      <c r="I54">
        <v>25</v>
      </c>
    </row>
    <row r="55" spans="2:9" x14ac:dyDescent="0.25">
      <c r="F55" s="3" t="s">
        <v>18</v>
      </c>
      <c r="G55">
        <f>C36</f>
        <v>25</v>
      </c>
      <c r="H55" t="s">
        <v>57</v>
      </c>
      <c r="I55">
        <v>25</v>
      </c>
    </row>
    <row r="56" spans="2:9" x14ac:dyDescent="0.25">
      <c r="F56" s="4" t="s">
        <v>25</v>
      </c>
      <c r="G56">
        <f>C37</f>
        <v>450</v>
      </c>
      <c r="H56" t="s">
        <v>57</v>
      </c>
      <c r="I56">
        <v>450</v>
      </c>
    </row>
    <row r="57" spans="2:9" x14ac:dyDescent="0.25">
      <c r="F57" s="4" t="s">
        <v>26</v>
      </c>
      <c r="G57">
        <f>C38</f>
        <v>420</v>
      </c>
      <c r="H57" t="s">
        <v>59</v>
      </c>
      <c r="I57">
        <v>420</v>
      </c>
    </row>
    <row r="58" spans="2:9" x14ac:dyDescent="0.25">
      <c r="F58" t="s">
        <v>27</v>
      </c>
      <c r="G58">
        <f>C39</f>
        <v>4364.4370905899077</v>
      </c>
      <c r="H58" t="s">
        <v>57</v>
      </c>
      <c r="I58">
        <v>2550</v>
      </c>
    </row>
    <row r="59" spans="2:9" x14ac:dyDescent="0.25">
      <c r="F59" t="s">
        <v>58</v>
      </c>
      <c r="G59">
        <f>C40</f>
        <v>4</v>
      </c>
      <c r="H59" t="s">
        <v>59</v>
      </c>
      <c r="I59">
        <v>4</v>
      </c>
    </row>
    <row r="60" spans="2:9" x14ac:dyDescent="0.25">
      <c r="F60" t="s">
        <v>2</v>
      </c>
      <c r="G60">
        <f>C7</f>
        <v>557.13663011574272</v>
      </c>
      <c r="H60" t="s">
        <v>57</v>
      </c>
      <c r="I60">
        <v>30</v>
      </c>
    </row>
    <row r="61" spans="2:9" x14ac:dyDescent="0.25">
      <c r="F61" t="s">
        <v>3</v>
      </c>
      <c r="G61">
        <f>C8</f>
        <v>211.94494783224803</v>
      </c>
      <c r="H61" t="s">
        <v>57</v>
      </c>
      <c r="I61">
        <v>30</v>
      </c>
    </row>
    <row r="62" spans="2:9" x14ac:dyDescent="0.25">
      <c r="F62" t="s">
        <v>4</v>
      </c>
      <c r="G62">
        <f>C9</f>
        <v>30</v>
      </c>
      <c r="H62" t="s">
        <v>57</v>
      </c>
      <c r="I62">
        <v>30</v>
      </c>
    </row>
    <row r="63" spans="2:9" x14ac:dyDescent="0.25">
      <c r="F63" t="s">
        <v>5</v>
      </c>
      <c r="G63">
        <f>C10</f>
        <v>30.000000000000004</v>
      </c>
      <c r="H63" t="s">
        <v>57</v>
      </c>
      <c r="I63">
        <v>30</v>
      </c>
    </row>
    <row r="64" spans="2:9" x14ac:dyDescent="0.25">
      <c r="F64" t="s">
        <v>33</v>
      </c>
      <c r="G64">
        <f>C11</f>
        <v>30</v>
      </c>
      <c r="H64" t="s">
        <v>57</v>
      </c>
      <c r="I64">
        <v>30</v>
      </c>
    </row>
    <row r="65" spans="6:12" x14ac:dyDescent="0.25">
      <c r="F65" t="s">
        <v>34</v>
      </c>
      <c r="G65">
        <f>C12</f>
        <v>30</v>
      </c>
      <c r="H65" t="s">
        <v>57</v>
      </c>
      <c r="I65">
        <v>30</v>
      </c>
    </row>
    <row r="66" spans="6:12" x14ac:dyDescent="0.25">
      <c r="F66" t="s">
        <v>7</v>
      </c>
      <c r="G66">
        <f>C13</f>
        <v>30</v>
      </c>
      <c r="H66" t="s">
        <v>57</v>
      </c>
      <c r="I66">
        <v>30</v>
      </c>
    </row>
    <row r="67" spans="6:12" x14ac:dyDescent="0.25">
      <c r="F67" t="s">
        <v>8</v>
      </c>
      <c r="G67">
        <f>C14</f>
        <v>600</v>
      </c>
      <c r="H67" t="s">
        <v>57</v>
      </c>
      <c r="I67">
        <v>30</v>
      </c>
      <c r="J67">
        <f>C14</f>
        <v>600</v>
      </c>
      <c r="K67" t="s">
        <v>60</v>
      </c>
      <c r="L67">
        <v>600</v>
      </c>
    </row>
    <row r="68" spans="6:12" x14ac:dyDescent="0.25">
      <c r="F68" t="s">
        <v>9</v>
      </c>
      <c r="G68">
        <f>C15</f>
        <v>30</v>
      </c>
      <c r="H68" t="s">
        <v>57</v>
      </c>
      <c r="I68">
        <v>30</v>
      </c>
    </row>
    <row r="69" spans="6:12" x14ac:dyDescent="0.25">
      <c r="F69" t="s">
        <v>10</v>
      </c>
      <c r="G69">
        <f>C16</f>
        <v>30</v>
      </c>
      <c r="H69" t="s">
        <v>57</v>
      </c>
      <c r="I69">
        <v>30</v>
      </c>
    </row>
    <row r="70" spans="6:12" x14ac:dyDescent="0.25">
      <c r="F70" t="s">
        <v>11</v>
      </c>
      <c r="G70">
        <f>C17</f>
        <v>30</v>
      </c>
      <c r="H70" t="s">
        <v>57</v>
      </c>
      <c r="I70">
        <v>30</v>
      </c>
    </row>
    <row r="71" spans="6:12" x14ac:dyDescent="0.25">
      <c r="F71" t="s">
        <v>12</v>
      </c>
      <c r="G71">
        <f>C18</f>
        <v>30</v>
      </c>
      <c r="H71" t="s">
        <v>57</v>
      </c>
      <c r="I71">
        <v>30</v>
      </c>
    </row>
    <row r="72" spans="6:12" x14ac:dyDescent="0.25">
      <c r="F72" s="2" t="s">
        <v>29</v>
      </c>
      <c r="G72">
        <f>C19</f>
        <v>30</v>
      </c>
      <c r="H72" t="s">
        <v>57</v>
      </c>
      <c r="I72">
        <v>30</v>
      </c>
    </row>
    <row r="73" spans="6:12" x14ac:dyDescent="0.25">
      <c r="F73" t="s">
        <v>30</v>
      </c>
      <c r="G73">
        <f>C20</f>
        <v>30</v>
      </c>
      <c r="H73" t="s">
        <v>57</v>
      </c>
      <c r="I73">
        <v>30</v>
      </c>
    </row>
    <row r="74" spans="6:12" x14ac:dyDescent="0.25">
      <c r="F74" t="s">
        <v>35</v>
      </c>
      <c r="G74">
        <f>C21</f>
        <v>30</v>
      </c>
      <c r="H74" t="s">
        <v>57</v>
      </c>
      <c r="I74">
        <v>30</v>
      </c>
    </row>
    <row r="75" spans="6:12" x14ac:dyDescent="0.25">
      <c r="F75" t="s">
        <v>36</v>
      </c>
      <c r="G75">
        <f>C22</f>
        <v>30</v>
      </c>
      <c r="H75" t="s">
        <v>57</v>
      </c>
      <c r="I75">
        <v>30</v>
      </c>
    </row>
    <row r="76" spans="6:12" x14ac:dyDescent="0.25">
      <c r="F76" t="s">
        <v>31</v>
      </c>
      <c r="G76">
        <f>C23</f>
        <v>30</v>
      </c>
      <c r="H76" t="s">
        <v>57</v>
      </c>
      <c r="I76">
        <v>30</v>
      </c>
    </row>
    <row r="77" spans="6:12" x14ac:dyDescent="0.25">
      <c r="F77" t="s">
        <v>13</v>
      </c>
      <c r="G77">
        <f>C24</f>
        <v>30</v>
      </c>
      <c r="H77" t="s">
        <v>57</v>
      </c>
      <c r="I77">
        <v>30</v>
      </c>
    </row>
    <row r="78" spans="6:12" x14ac:dyDescent="0.25">
      <c r="F78" t="s">
        <v>32</v>
      </c>
      <c r="G78">
        <f>C25</f>
        <v>30</v>
      </c>
      <c r="H78" t="s">
        <v>57</v>
      </c>
      <c r="I78">
        <v>30</v>
      </c>
    </row>
    <row r="79" spans="6:12" x14ac:dyDescent="0.25">
      <c r="F79" t="s">
        <v>14</v>
      </c>
      <c r="G79">
        <f>C26</f>
        <v>30</v>
      </c>
      <c r="H79" t="s">
        <v>57</v>
      </c>
      <c r="I79">
        <v>30</v>
      </c>
    </row>
    <row r="80" spans="6:12" x14ac:dyDescent="0.25">
      <c r="F80" t="s">
        <v>15</v>
      </c>
      <c r="G80">
        <f>C27</f>
        <v>200</v>
      </c>
      <c r="H80" t="s">
        <v>60</v>
      </c>
      <c r="I80">
        <v>200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Muqtadir Fuad</dc:creator>
  <cp:lastModifiedBy>Md. Muqtadir Fuad</cp:lastModifiedBy>
  <dcterms:created xsi:type="dcterms:W3CDTF">2024-01-05T09:16:48Z</dcterms:created>
  <dcterms:modified xsi:type="dcterms:W3CDTF">2024-01-06T08:39:50Z</dcterms:modified>
</cp:coreProperties>
</file>